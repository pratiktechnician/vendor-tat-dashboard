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  <sheet state="visible" name="Team details" sheetId="2" r:id="rId6"/>
  </sheets>
  <definedNames>
    <definedName hidden="1" localSheetId="0" name="_xlnm._FilterDatabase">'Master Sheet'!$A$1:$Z$136</definedName>
  </definedNames>
  <calcPr/>
</workbook>
</file>

<file path=xl/sharedStrings.xml><?xml version="1.0" encoding="utf-8"?>
<sst xmlns="http://schemas.openxmlformats.org/spreadsheetml/2006/main" count="1732" uniqueCount="358">
  <si>
    <t>Sl.No</t>
  </si>
  <si>
    <t>Region</t>
  </si>
  <si>
    <t>State</t>
  </si>
  <si>
    <t>Project Name</t>
  </si>
  <si>
    <t>Delivery Track</t>
  </si>
  <si>
    <t>BTS/Customer</t>
  </si>
  <si>
    <t>Site ID</t>
  </si>
  <si>
    <t>BTS/Customer Name</t>
  </si>
  <si>
    <t>Activity</t>
  </si>
  <si>
    <t>Loading Date from WI team</t>
  </si>
  <si>
    <t>Permission Recieved Date</t>
  </si>
  <si>
    <t>Complete Date</t>
  </si>
  <si>
    <t>Actual TAT</t>
  </si>
  <si>
    <t>Aging</t>
  </si>
  <si>
    <t>WI TAT-Standard</t>
  </si>
  <si>
    <t>TAT Remarks</t>
  </si>
  <si>
    <t>Region / Zone</t>
  </si>
  <si>
    <t>Status</t>
  </si>
  <si>
    <t>Remarks</t>
  </si>
  <si>
    <t>Vendor Name</t>
  </si>
  <si>
    <t>WO Status</t>
  </si>
  <si>
    <t>Name of FE/Tech (SD only)</t>
  </si>
  <si>
    <t>WO Remarks</t>
  </si>
  <si>
    <t>DOB</t>
  </si>
  <si>
    <t>Mobile Number</t>
  </si>
  <si>
    <t>Emergency Response Contact Name</t>
  </si>
  <si>
    <t>Emergency Response Contact Number</t>
  </si>
  <si>
    <t>Qualification</t>
  </si>
  <si>
    <t>Medical Certificate No.</t>
  </si>
  <si>
    <t>East</t>
  </si>
  <si>
    <t>Medical Certificate Issue Date</t>
  </si>
  <si>
    <t>Email ID</t>
  </si>
  <si>
    <t>EMP ID</t>
  </si>
  <si>
    <t>Date of Joining</t>
  </si>
  <si>
    <t>Major location</t>
  </si>
  <si>
    <t>City Name</t>
  </si>
  <si>
    <t>Work at Height (CBTHR/FARM Tocli) Certification Status (Y/N)</t>
  </si>
  <si>
    <t>W@H Certificate number</t>
  </si>
  <si>
    <t>Month &amp; Year of Safety Training</t>
  </si>
  <si>
    <t>Month &amp; Year of Expiry</t>
  </si>
  <si>
    <t>Transport Mode(2W/4W/Public Transport)</t>
  </si>
  <si>
    <t>2 Wheeler Driving License Availability (Yes/No)</t>
  </si>
  <si>
    <t>2W DDT Training Status(Completed/Pending)</t>
  </si>
  <si>
    <t>2W DDT Training Date</t>
  </si>
  <si>
    <t>2W DDT Expiry Date</t>
  </si>
  <si>
    <t>H&amp;S Induction Training Status (Completed/Pending)</t>
  </si>
  <si>
    <t>H&amp;S Induction training date</t>
  </si>
  <si>
    <t>Experience (In )</t>
  </si>
  <si>
    <t>Epassport Availability</t>
  </si>
  <si>
    <t>Epassport Status as per Portal</t>
  </si>
  <si>
    <t>Orissa</t>
  </si>
  <si>
    <t>Epassport Expiry date</t>
  </si>
  <si>
    <t>Epassport ID-SD</t>
  </si>
  <si>
    <t>CX4 to Conventional BH FY 25</t>
  </si>
  <si>
    <t>UBR</t>
  </si>
  <si>
    <t>EPTW Mapped Status(Y/N)</t>
  </si>
  <si>
    <t>EPTW User name</t>
  </si>
  <si>
    <t>BTS</t>
  </si>
  <si>
    <t>ORICUT0096</t>
  </si>
  <si>
    <t>CTK_08_KALYAN_NAGAR</t>
  </si>
  <si>
    <t>UBR BH survey</t>
  </si>
  <si>
    <t>Malfonic Network Communication Pvt Ltd</t>
  </si>
  <si>
    <t>Jayanta Kumar Sahoo</t>
  </si>
  <si>
    <t>Prafulla Sahoo</t>
  </si>
  <si>
    <t>Graduation</t>
  </si>
  <si>
    <t>SM-MED- 15684</t>
  </si>
  <si>
    <t>jayantasahoo3843@gmail.com</t>
  </si>
  <si>
    <t>01-19092022</t>
  </si>
  <si>
    <t>19-09-22</t>
  </si>
  <si>
    <t>Bhubaneswar</t>
  </si>
  <si>
    <t>Y</t>
  </si>
  <si>
    <t>Public Transport</t>
  </si>
  <si>
    <t>No</t>
  </si>
  <si>
    <t>NA</t>
  </si>
  <si>
    <t>Completed</t>
  </si>
  <si>
    <t>1 Yr</t>
  </si>
  <si>
    <t>Yes</t>
  </si>
  <si>
    <t>Active</t>
  </si>
  <si>
    <t>TCL/SD/SD/JAN/2500512</t>
  </si>
  <si>
    <t>jayantasahoo3843</t>
  </si>
  <si>
    <t>Kishor Sarkar</t>
  </si>
  <si>
    <t>Riya Sarkar</t>
  </si>
  <si>
    <t>SM-MED-17303</t>
  </si>
  <si>
    <t>kishorsarkar2012@gmail.com</t>
  </si>
  <si>
    <t>01-20210414</t>
  </si>
  <si>
    <t>14-04-21</t>
  </si>
  <si>
    <t>West Bengal</t>
  </si>
  <si>
    <t>Kolkata</t>
  </si>
  <si>
    <t>3 Yrs</t>
  </si>
  <si>
    <t>TCL/SD/SD/JAN/2500525</t>
  </si>
  <si>
    <t>Linkan Sharma</t>
  </si>
  <si>
    <t>Litan Sharma</t>
  </si>
  <si>
    <t>12th</t>
  </si>
  <si>
    <t>SM-MED-21715</t>
  </si>
  <si>
    <t>linkansharma003@gmail.com</t>
  </si>
  <si>
    <t>02-03062024</t>
  </si>
  <si>
    <t>Delayed due to FE ePTW not generated</t>
  </si>
  <si>
    <t>TCL/SD/SD/MAR/2502825</t>
  </si>
  <si>
    <t>linkansharma003</t>
  </si>
  <si>
    <t>Survey Completed</t>
  </si>
  <si>
    <t>LOS feasible from IM Site- Andarpur_ORIQBC0137</t>
  </si>
  <si>
    <t>Joy Mohabta</t>
  </si>
  <si>
    <t>Smritimay Jana</t>
  </si>
  <si>
    <t>10th</t>
  </si>
  <si>
    <t>SM-MED-260105</t>
  </si>
  <si>
    <t>Released</t>
  </si>
  <si>
    <r>
      <rPr>
        <rFont val="Calibri"/>
        <color rgb="FF1155CC"/>
        <sz val="12.0"/>
        <u/>
      </rPr>
      <t>mohantan707@gmail.com</t>
    </r>
  </si>
  <si>
    <t>ORIQBC0117</t>
  </si>
  <si>
    <t>Pota_Pokhari</t>
  </si>
  <si>
    <t>ORIQBC0217</t>
  </si>
  <si>
    <t>Nayasadak</t>
  </si>
  <si>
    <t>RF platform migration: Cambium 100 to 45</t>
  </si>
  <si>
    <t>Cambium 100 to 450i Replacement + CPE migration</t>
  </si>
  <si>
    <t>OR3007</t>
  </si>
  <si>
    <t>GHASISAHI-1</t>
  </si>
  <si>
    <t>Sector Replacement</t>
  </si>
  <si>
    <t>Within TAT</t>
  </si>
  <si>
    <t>Fully Completed</t>
  </si>
  <si>
    <t>AT &amp; SM testing completed</t>
  </si>
  <si>
    <t>01-19122025</t>
  </si>
  <si>
    <t>ORIMAY0299</t>
  </si>
  <si>
    <t>Siliguri</t>
  </si>
  <si>
    <t>Baripada_highway</t>
  </si>
  <si>
    <t>25260617</t>
  </si>
  <si>
    <t>NO</t>
  </si>
  <si>
    <t>Subha Barman</t>
  </si>
  <si>
    <t>ORIGAN0157</t>
  </si>
  <si>
    <t>Berhampur3 (station road)</t>
  </si>
  <si>
    <t>0.5 Yrs</t>
  </si>
  <si>
    <t>Installation - UBR BH</t>
  </si>
  <si>
    <t>TCL/WOPI/WI/JUN/2605846</t>
  </si>
  <si>
    <t>Samir Bala</t>
  </si>
  <si>
    <t>Delayed due to UBR tac dependency</t>
  </si>
  <si>
    <t>AT completed</t>
  </si>
  <si>
    <t>Balai Malakar</t>
  </si>
  <si>
    <t>Customer</t>
  </si>
  <si>
    <t>091KHOR623036114789</t>
  </si>
  <si>
    <t>Indian Bank</t>
  </si>
  <si>
    <t>Survey - Customer (PMP)</t>
  </si>
  <si>
    <t>PMP Feasible with 3 mtr existing pole</t>
  </si>
  <si>
    <t>Installation - Customer</t>
  </si>
  <si>
    <t>TAT Missed due to material availibility</t>
  </si>
  <si>
    <t>Link under stability</t>
  </si>
  <si>
    <t>091MAYU623016899749</t>
  </si>
  <si>
    <t>UNION BANK OF INDIA</t>
  </si>
  <si>
    <t>Feasible in PMP</t>
  </si>
  <si>
    <t>Emergency Relocation</t>
  </si>
  <si>
    <t>OR/BE/VF/0089</t>
  </si>
  <si>
    <t>Rangilunda</t>
  </si>
  <si>
    <t>Survey - BS(PMP)</t>
  </si>
  <si>
    <t>Report shared</t>
  </si>
  <si>
    <t>Report shared, LOS Feasible</t>
  </si>
  <si>
    <t>OR3048</t>
  </si>
  <si>
    <t>Patia</t>
  </si>
  <si>
    <t>OR/MA/VF/0010</t>
  </si>
  <si>
    <t>Gudakata</t>
  </si>
  <si>
    <t>Migration - UBR BH</t>
  </si>
  <si>
    <t>PE Done</t>
  </si>
  <si>
    <t>Installation - BS(PMP)</t>
  </si>
  <si>
    <t>TAT Missed for material change</t>
  </si>
  <si>
    <t>AT Completed and SM Testing done</t>
  </si>
  <si>
    <t>AT Done</t>
  </si>
  <si>
    <t>TAT Missed due to switch faulty</t>
  </si>
  <si>
    <t>TTL Rollback</t>
  </si>
  <si>
    <t>Dismantle - UBR BH</t>
  </si>
  <si>
    <t>TAT Missed due to one end pending only</t>
  </si>
  <si>
    <t>Dismantle completed</t>
  </si>
  <si>
    <t>Material handovered to RIPL on 17-Nov-25</t>
  </si>
  <si>
    <t>FRN Done</t>
  </si>
  <si>
    <t>IN-3129907</t>
  </si>
  <si>
    <t>Teachers colony</t>
  </si>
  <si>
    <t>Report shared,LOS Feasible</t>
  </si>
  <si>
    <t>091MAYU623014831595</t>
  </si>
  <si>
    <t>Central Bank Of India</t>
  </si>
  <si>
    <t>Survey - Customer</t>
  </si>
  <si>
    <t>Report shared, Feasible with 3 mtr new pole</t>
  </si>
  <si>
    <t>091BARI6230A0234615</t>
  </si>
  <si>
    <t>HDFC LIFE INSURANCE COMPANY LIMITED</t>
  </si>
  <si>
    <t>091BARI623037541482</t>
  </si>
  <si>
    <t>TCS PASSPORT SEVA PROJECT</t>
  </si>
  <si>
    <t>Report shared, Feasible with 6 mtr new pole</t>
  </si>
  <si>
    <t>091BARI623034701960</t>
  </si>
  <si>
    <t>UNION BANK OF INDIA- erstwhile CB</t>
  </si>
  <si>
    <t>091BHUB623011070042</t>
  </si>
  <si>
    <t>INDIAN OVERSEAS BANK</t>
  </si>
  <si>
    <t>Report shared, Feasible with 3 mtr existing pole</t>
  </si>
  <si>
    <t>091MYSU6230A0219188</t>
  </si>
  <si>
    <t>Directorate of Income Tax (Systems)</t>
  </si>
  <si>
    <t>Report shared, Feasible with 21 mtr existing GBT Mast</t>
  </si>
  <si>
    <t>PTP to PMP Conversion 5</t>
  </si>
  <si>
    <t>091BURD623013072306</t>
  </si>
  <si>
    <t>INDIAN BANK (Erstwhile Allahabad Bank)</t>
  </si>
  <si>
    <t>091HALD623010138390</t>
  </si>
  <si>
    <t>UNION BANK OF INDIA_erstwhile AB</t>
  </si>
  <si>
    <t>PMP not feasible, Link kept on old LM</t>
  </si>
  <si>
    <t>091ASAN030038249250</t>
  </si>
  <si>
    <t>ACC Limited</t>
  </si>
  <si>
    <t>PMP Feasible on existing wall mount L-pole</t>
  </si>
  <si>
    <t>091CONT6230A0119603</t>
  </si>
  <si>
    <t>Bajaj Allianz Life Insurance Company Limited</t>
  </si>
  <si>
    <t>TAT Missed due to material received delayed</t>
  </si>
  <si>
    <t>091MEDI623017779572</t>
  </si>
  <si>
    <t>BAJAJ FINANCE LTD</t>
  </si>
  <si>
    <t>091BHUB623029415318</t>
  </si>
  <si>
    <t>ATC Telecom Infrastructure Private Limited</t>
  </si>
  <si>
    <t>091BHUB623031266711</t>
  </si>
  <si>
    <t>Maruti Suzuki India Ltd</t>
  </si>
  <si>
    <t>091BHUB030037762724</t>
  </si>
  <si>
    <t>Ingram Micro India Private Limited</t>
  </si>
  <si>
    <t>Customer shifted to another location</t>
  </si>
  <si>
    <t>Migration-Customer</t>
  </si>
  <si>
    <t>Migrated</t>
  </si>
  <si>
    <t>TAT Missed due to access issue</t>
  </si>
  <si>
    <t>AT Complete &amp; SM testing done</t>
  </si>
  <si>
    <t>Link stable,AT Complete</t>
  </si>
  <si>
    <t>Jharkhand</t>
  </si>
  <si>
    <t>JHABOK0010</t>
  </si>
  <si>
    <t>Chaas-01</t>
  </si>
  <si>
    <t>TAT missed for device become faulty</t>
  </si>
  <si>
    <t>AT Sheet and snap shared</t>
  </si>
  <si>
    <t>TAT missed for device not available</t>
  </si>
  <si>
    <t>Bihar</t>
  </si>
  <si>
    <t>Radwin 5K Migration - PH-1</t>
  </si>
  <si>
    <t>AURANGABAD-01</t>
  </si>
  <si>
    <t>TAT Missed from our end</t>
  </si>
  <si>
    <t>AT Complete, SM testing pending</t>
  </si>
  <si>
    <t>ORIJAG0396</t>
  </si>
  <si>
    <t>PPL Colony</t>
  </si>
  <si>
    <t>Physical Completed</t>
  </si>
  <si>
    <t>091JAGA623037282697</t>
  </si>
  <si>
    <t>HDFC Bank Limited</t>
  </si>
  <si>
    <t>TCL GA was pending</t>
  </si>
  <si>
    <t>091PARA0300A0159727</t>
  </si>
  <si>
    <t>Adani Wilmar Limited</t>
  </si>
  <si>
    <t>Not feasible in PMP, so kept on old LM-P2P</t>
  </si>
  <si>
    <t>091KEND623036786991</t>
  </si>
  <si>
    <t>Tata AIA Life Insurance Company Limited</t>
  </si>
  <si>
    <t>091AURA6230A0296946</t>
  </si>
  <si>
    <t>Directorate of Income Tax Systems</t>
  </si>
  <si>
    <t>091AURA623017007536</t>
  </si>
  <si>
    <t>091AURA0300A0312332</t>
  </si>
  <si>
    <t>SHRIRAM FINANCE LIMITED</t>
  </si>
  <si>
    <t>091AURA623038521612</t>
  </si>
  <si>
    <t>091AURA623037554260</t>
  </si>
  <si>
    <t>TCS (PASSPORT SEVA PROJECT)</t>
  </si>
  <si>
    <t>WIP</t>
  </si>
  <si>
    <t>RF Capacity augmentation 65 BS 100 to 45</t>
  </si>
  <si>
    <t>Dismantle - BS(PMP)</t>
  </si>
  <si>
    <t>Details shared</t>
  </si>
  <si>
    <t>ORIKHU0541</t>
  </si>
  <si>
    <t>BBSR_GSM_17</t>
  </si>
  <si>
    <t>PtP To PmP Conversion-5</t>
  </si>
  <si>
    <t>Dismantle - Customer</t>
  </si>
  <si>
    <t>Pending/YTS</t>
  </si>
  <si>
    <t>Non Performing BS Optimization Ph-11</t>
  </si>
  <si>
    <t>ORIPUR0330</t>
  </si>
  <si>
    <t>Station Road (puri district)</t>
  </si>
  <si>
    <t>T34P-Switch replacement FY25</t>
  </si>
  <si>
    <t>Switch</t>
  </si>
  <si>
    <t>INOD000162</t>
  </si>
  <si>
    <t>KAPALESWAR</t>
  </si>
  <si>
    <t>Installation - Switch</t>
  </si>
  <si>
    <t>WCC pending</t>
  </si>
  <si>
    <t>Migration - Switch</t>
  </si>
  <si>
    <t>As per DT</t>
  </si>
  <si>
    <t>UBR PE</t>
  </si>
  <si>
    <t>CX4 BH Con. BH Migr 17 BS FY26</t>
  </si>
  <si>
    <t>JHAEAS0133</t>
  </si>
  <si>
    <t>Chandil_01</t>
  </si>
  <si>
    <t>Migration</t>
  </si>
  <si>
    <t>CX4 to conventional backhaul PH 3</t>
  </si>
  <si>
    <t>TROR0037</t>
  </si>
  <si>
    <t>R.k Colony nabarangapur</t>
  </si>
  <si>
    <t>ZTS Relocation FY26 Ph-2</t>
  </si>
  <si>
    <t>UBR + Relocation</t>
  </si>
  <si>
    <t>OR/KE/VO/0362</t>
  </si>
  <si>
    <t>Kendrapara</t>
  </si>
  <si>
    <t>091KEND6230A0219048</t>
  </si>
  <si>
    <t>091KEND6230A0337934</t>
  </si>
  <si>
    <t>PNB METLIFE INDIA INSURANCE COMPANY LIMITED</t>
  </si>
  <si>
    <t>091KEND623037541612</t>
  </si>
  <si>
    <t>091CUTT623036817532</t>
  </si>
  <si>
    <t>Central Bank of India</t>
  </si>
  <si>
    <t>091KEND623034584731</t>
  </si>
  <si>
    <t>ICICI Bank Limited</t>
  </si>
  <si>
    <t>Sikkim</t>
  </si>
  <si>
    <t>Low Potential BS &amp; Sector Dismantling 70</t>
  </si>
  <si>
    <t>SKMEAS0005</t>
  </si>
  <si>
    <t>Gangtok_004(MG Marg)</t>
  </si>
  <si>
    <t>Sector Dismantling</t>
  </si>
  <si>
    <t>Pending</t>
  </si>
  <si>
    <t>WO pending</t>
  </si>
  <si>
    <t>P2P to PMP Phase 6</t>
  </si>
  <si>
    <t>091CUTT623036705696</t>
  </si>
  <si>
    <t>Axis Bank Limited</t>
  </si>
  <si>
    <t>PMP Feasible with existing 3 mtr pole</t>
  </si>
  <si>
    <t>091CUTT6230A0006748</t>
  </si>
  <si>
    <t>FIS Payment Solutions &amp; Services India Private Limited</t>
  </si>
  <si>
    <t>091JAJP6230Z0000011</t>
  </si>
  <si>
    <t>Bharti AXA Life Insurance Company Limited</t>
  </si>
  <si>
    <t>091KORA623009931945</t>
  </si>
  <si>
    <t>IDBI Bank Limited</t>
  </si>
  <si>
    <t>091NAYA623008983704</t>
  </si>
  <si>
    <t>091KHOR623037777207</t>
  </si>
  <si>
    <t>HDFC BANK LIMITED</t>
  </si>
  <si>
    <t>PMP not feasible for BTS not wihin 4 km</t>
  </si>
  <si>
    <t>091BHUB0300A0007214</t>
  </si>
  <si>
    <t>MATRIMONY.COM Limited</t>
  </si>
  <si>
    <t>091ROUR623037541836</t>
  </si>
  <si>
    <t>PMP Feasible with existing 24 mtr GBT mast</t>
  </si>
  <si>
    <t>091NAYA6230A0208174</t>
  </si>
  <si>
    <t>091SILI623036824531</t>
  </si>
  <si>
    <t>Tata Motors Limited</t>
  </si>
  <si>
    <t>PMP Feasible with 6 mtr existing pole</t>
  </si>
  <si>
    <t>091BEHA623012669181</t>
  </si>
  <si>
    <t>West Bengal state Electricity Distribution Company Ltd</t>
  </si>
  <si>
    <t>091JALP6230A0053842</t>
  </si>
  <si>
    <t>091SILI623031713486</t>
  </si>
  <si>
    <t>Maruti Suzuki India Limited</t>
  </si>
  <si>
    <t>091SILI0300A0019868</t>
  </si>
  <si>
    <t>LUPIN LIMITED</t>
  </si>
  <si>
    <t>091KOLK0300A0133134</t>
  </si>
  <si>
    <t>PMP Not feasible</t>
  </si>
  <si>
    <t>091JALP623037679662</t>
  </si>
  <si>
    <t>Bajaj Finance Limited</t>
  </si>
  <si>
    <t>091ALIP623037546128</t>
  </si>
  <si>
    <t>091COOC623036787301</t>
  </si>
  <si>
    <t>I&amp;C Complete</t>
  </si>
  <si>
    <t>Stability mail shared</t>
  </si>
  <si>
    <t>Migration - Customer</t>
  </si>
  <si>
    <t>WEBSIK0759</t>
  </si>
  <si>
    <t>Kalingpong_001</t>
  </si>
  <si>
    <t>High Colo Opex BTS &amp; ZTS relocation</t>
  </si>
  <si>
    <t>Relocation + UBR</t>
  </si>
  <si>
    <t>WEBQKG0670</t>
  </si>
  <si>
    <t>Medinipur (M) 2</t>
  </si>
  <si>
    <t>BS+UBR LOS Survey</t>
  </si>
  <si>
    <t>WEBWES0970</t>
  </si>
  <si>
    <t>Midnapur_001 (Chandinibazar)</t>
  </si>
  <si>
    <t>UBR LOS Survey</t>
  </si>
  <si>
    <t>091MIDN623037068891</t>
  </si>
  <si>
    <t>PUNJAB NATIONAL BANK</t>
  </si>
  <si>
    <t>091MIDN0300A0139627</t>
  </si>
  <si>
    <t>ADITYA BIRLA SUN LIFE INSURANCE COMPANY LIMITED</t>
  </si>
  <si>
    <t>091MIDN6230A0231440</t>
  </si>
  <si>
    <t>091MIDN623034728667</t>
  </si>
  <si>
    <t>091MIDN623012666915</t>
  </si>
  <si>
    <t>091MIDN030037129170</t>
  </si>
  <si>
    <t>Jubilant Foodworks Limited</t>
  </si>
  <si>
    <t>091MIDN0300A0349342</t>
  </si>
  <si>
    <t>DR. LAL PATHLABS Limited</t>
  </si>
  <si>
    <t>091MIDN623013065113</t>
  </si>
  <si>
    <t>091MIDN623037049104</t>
  </si>
  <si>
    <t>L1-L2 improvement FY24 Ph-2, 80 sites</t>
  </si>
  <si>
    <t>ORIKHU0268</t>
  </si>
  <si>
    <t>Niladri Vihar</t>
  </si>
  <si>
    <t>IN-2035228</t>
  </si>
  <si>
    <t>BALUGAON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</si>
</sst>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"/>
    <numFmt numFmtId="165" formatCode="d-mmmm-yy"/>
    <numFmt numFmtId="166" formatCode="d-mmm-yy"/>
    <numFmt numFmtId="167" formatCode="mm-dd-yy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b/>
      <u/>
      <sz val="12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  <font>
      <u/>
      <sz val="12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7C7AC"/>
        <bgColor rgb="FFF7C7AC"/>
      </patternFill>
    </fill>
    <fill>
      <patternFill patternType="solid">
        <fgColor rgb="FFBDD7EE"/>
        <bgColor rgb="FFBDD7EE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00B0F0"/>
        <bgColor rgb="FF00B0F0"/>
      </patternFill>
    </fill>
    <fill>
      <patternFill patternType="solid">
        <fgColor rgb="FF9BC2E6"/>
        <bgColor rgb="FF9BC2E6"/>
      </patternFill>
    </fill>
    <fill>
      <patternFill patternType="solid">
        <fgColor rgb="FFC9C9C9"/>
        <bgColor rgb="FFC9C9C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readingOrder="0" shrinkToFit="0" wrapText="1"/>
    </xf>
    <xf borderId="1" fillId="3" fontId="3" numFmtId="0" xfId="0" applyAlignment="1" applyBorder="1" applyFill="1" applyFont="1">
      <alignment horizontal="center" readingOrder="0" shrinkToFit="0" wrapText="1"/>
    </xf>
    <xf borderId="1" fillId="4" fontId="3" numFmtId="0" xfId="0" applyAlignment="1" applyBorder="1" applyFill="1" applyFont="1">
      <alignment horizontal="center" readingOrder="0" shrinkToFit="0" wrapText="1"/>
    </xf>
    <xf borderId="1" fillId="5" fontId="3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left"/>
    </xf>
    <xf borderId="1" fillId="6" fontId="3" numFmtId="0" xfId="0" applyAlignment="1" applyBorder="1" applyFill="1" applyFont="1">
      <alignment horizontal="center" readingOrder="0" shrinkToFit="0" wrapText="1"/>
    </xf>
    <xf borderId="1" fillId="7" fontId="3" numFmtId="0" xfId="0" applyAlignment="1" applyBorder="1" applyFill="1" applyFont="1">
      <alignment horizontal="center" readingOrder="0" shrinkToFit="0" wrapText="1"/>
    </xf>
    <xf borderId="1" fillId="0" fontId="5" numFmtId="0" xfId="0" applyAlignment="1" applyBorder="1" applyFont="1">
      <alignment horizontal="left" vertical="center"/>
    </xf>
    <xf borderId="1" fillId="8" fontId="3" numFmtId="0" xfId="0" applyAlignment="1" applyBorder="1" applyFill="1" applyFont="1">
      <alignment horizontal="center" readingOrder="0" shrinkToFit="0" wrapText="1"/>
    </xf>
    <xf borderId="1" fillId="9" fontId="3" numFmtId="0" xfId="0" applyAlignment="1" applyBorder="1" applyFill="1" applyFont="1">
      <alignment horizontal="center" readingOrder="0" shrinkToFit="0" wrapText="1"/>
    </xf>
    <xf borderId="1" fillId="10" fontId="3" numFmtId="0" xfId="0" applyAlignment="1" applyBorder="1" applyFill="1" applyFont="1">
      <alignment horizontal="center" readingOrder="0" shrinkToFit="0" wrapText="1"/>
    </xf>
    <xf borderId="1" fillId="11" fontId="3" numFmtId="0" xfId="0" applyAlignment="1" applyBorder="1" applyFill="1" applyFont="1">
      <alignment horizontal="center" readingOrder="0" shrinkToFit="0" wrapText="1"/>
    </xf>
    <xf borderId="1" fillId="12" fontId="3" numFmtId="0" xfId="0" applyAlignment="1" applyBorder="1" applyFill="1" applyFont="1">
      <alignment horizontal="center" readingOrder="0" shrinkToFit="0" wrapText="1"/>
    </xf>
    <xf borderId="1" fillId="13" fontId="3" numFmtId="0" xfId="0" applyAlignment="1" applyBorder="1" applyFill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0"/>
    </xf>
    <xf borderId="1" fillId="0" fontId="5" numFmtId="15" xfId="0" applyAlignment="1" applyBorder="1" applyFont="1" applyNumberFormat="1">
      <alignment horizontal="left" vertical="center"/>
    </xf>
    <xf borderId="1" fillId="14" fontId="6" numFmtId="0" xfId="0" applyAlignment="1" applyBorder="1" applyFill="1" applyFont="1">
      <alignment horizontal="center" readingOrder="0" shrinkToFit="0" wrapText="0"/>
    </xf>
    <xf borderId="1" fillId="0" fontId="6" numFmtId="164" xfId="0" applyAlignment="1" applyBorder="1" applyFont="1" applyNumberFormat="1">
      <alignment horizontal="center" readingOrder="0" shrinkToFit="0" wrapText="0"/>
    </xf>
    <xf borderId="1" fillId="0" fontId="6" numFmtId="165" xfId="0" applyAlignment="1" applyBorder="1" applyFont="1" applyNumberFormat="1">
      <alignment horizontal="center" readingOrder="0" shrinkToFit="0" wrapText="0"/>
    </xf>
    <xf borderId="1" fillId="0" fontId="6" numFmtId="166" xfId="0" applyAlignment="1" applyBorder="1" applyFont="1" applyNumberFormat="1">
      <alignment horizontal="center" readingOrder="0" shrinkToFit="0" wrapText="0"/>
    </xf>
    <xf borderId="1" fillId="0" fontId="6" numFmtId="167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readingOrder="0" shrinkToFit="0" wrapText="0"/>
    </xf>
    <xf quotePrefix="1" borderId="1" fillId="0" fontId="6" numFmtId="0" xfId="0" applyAlignment="1" applyBorder="1" applyFont="1">
      <alignment horizontal="center" readingOrder="0" shrinkToFit="0" wrapText="0"/>
    </xf>
    <xf borderId="1" fillId="0" fontId="5" numFmtId="15" xfId="0" applyAlignment="1" applyBorder="1" applyFont="1" applyNumberFormat="1">
      <alignment horizontal="left" readingOrder="0" vertical="center"/>
    </xf>
    <xf borderId="1" fillId="0" fontId="5" numFmtId="166" xfId="0" applyAlignment="1" applyBorder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hyperlink" Target="mailto:mohantan707@gmail.com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5.25"/>
    <col customWidth="1" min="3" max="3" width="22.88"/>
    <col customWidth="1" min="4" max="4" width="8.63"/>
    <col customWidth="1" min="5" max="5" width="10.0"/>
    <col customWidth="1" min="6" max="6" width="21.75"/>
    <col customWidth="1" min="7" max="7" width="24.75"/>
    <col customWidth="1" min="8" max="8" width="23.38"/>
    <col customWidth="1" min="9" max="9" width="13.38"/>
    <col customWidth="1" min="10" max="10" width="13.88"/>
    <col customWidth="1" min="11" max="11" width="9.88"/>
    <col customWidth="1" min="12" max="12" width="6.0"/>
    <col customWidth="1" min="13" max="13" width="5.0"/>
    <col customWidth="1" min="14" max="14" width="8.88"/>
    <col customWidth="1" min="15" max="15" width="15.75"/>
    <col customWidth="1" min="16" max="16" width="17.63"/>
    <col customWidth="1" min="17" max="17" width="45.63"/>
    <col customWidth="1" min="18" max="19" width="17.63"/>
  </cols>
  <sheetData>
    <row r="1" ht="12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20</v>
      </c>
      <c r="S1" s="1" t="s">
        <v>22</v>
      </c>
      <c r="T1" s="6"/>
      <c r="U1" s="6"/>
      <c r="V1" s="6"/>
      <c r="W1" s="6"/>
      <c r="X1" s="6"/>
      <c r="Y1" s="6"/>
      <c r="Z1" s="6"/>
    </row>
    <row r="2" ht="15.75" customHeight="1">
      <c r="A2" s="9" t="s">
        <v>29</v>
      </c>
      <c r="B2" s="9" t="s">
        <v>50</v>
      </c>
      <c r="C2" s="9" t="s">
        <v>53</v>
      </c>
      <c r="D2" s="9" t="s">
        <v>54</v>
      </c>
      <c r="E2" s="9" t="s">
        <v>57</v>
      </c>
      <c r="F2" s="9" t="s">
        <v>58</v>
      </c>
      <c r="G2" s="9" t="s">
        <v>59</v>
      </c>
      <c r="H2" s="9" t="s">
        <v>60</v>
      </c>
      <c r="I2" s="17">
        <v>45860.0</v>
      </c>
      <c r="J2" s="17">
        <v>45860.0</v>
      </c>
      <c r="K2" s="17">
        <v>45866.0</v>
      </c>
      <c r="L2" s="9">
        <f t="shared" ref="L2:L75" si="1">K2-J2</f>
        <v>6</v>
      </c>
      <c r="M2" s="9">
        <f t="shared" ref="M2:M95" si="2">TODAY()-J2</f>
        <v>419</v>
      </c>
      <c r="N2" s="9">
        <v>3.0</v>
      </c>
      <c r="O2" s="9" t="s">
        <v>96</v>
      </c>
      <c r="P2" s="9" t="s">
        <v>99</v>
      </c>
      <c r="Q2" s="9" t="s">
        <v>100</v>
      </c>
      <c r="R2" s="23" t="s">
        <v>105</v>
      </c>
      <c r="S2" s="9"/>
    </row>
    <row r="3" ht="15.75" customHeight="1">
      <c r="A3" s="9" t="s">
        <v>29</v>
      </c>
      <c r="B3" s="9" t="s">
        <v>50</v>
      </c>
      <c r="C3" s="9" t="s">
        <v>53</v>
      </c>
      <c r="D3" s="9" t="s">
        <v>54</v>
      </c>
      <c r="E3" s="9" t="s">
        <v>57</v>
      </c>
      <c r="F3" s="9" t="s">
        <v>107</v>
      </c>
      <c r="G3" s="9" t="s">
        <v>108</v>
      </c>
      <c r="H3" s="9" t="s">
        <v>60</v>
      </c>
      <c r="I3" s="17">
        <v>45860.0</v>
      </c>
      <c r="J3" s="17">
        <v>45860.0</v>
      </c>
      <c r="K3" s="17">
        <v>45866.0</v>
      </c>
      <c r="L3" s="9">
        <f t="shared" si="1"/>
        <v>6</v>
      </c>
      <c r="M3" s="9">
        <f t="shared" si="2"/>
        <v>419</v>
      </c>
      <c r="N3" s="9">
        <v>3.0</v>
      </c>
      <c r="O3" s="9" t="s">
        <v>96</v>
      </c>
      <c r="P3" s="9" t="s">
        <v>99</v>
      </c>
      <c r="Q3" s="9" t="s">
        <v>100</v>
      </c>
      <c r="R3" s="23" t="s">
        <v>105</v>
      </c>
      <c r="S3" s="9"/>
    </row>
    <row r="4" ht="15.75" customHeight="1">
      <c r="A4" s="9" t="s">
        <v>29</v>
      </c>
      <c r="B4" s="9" t="s">
        <v>50</v>
      </c>
      <c r="C4" s="9" t="s">
        <v>53</v>
      </c>
      <c r="D4" s="9" t="s">
        <v>54</v>
      </c>
      <c r="E4" s="9" t="s">
        <v>57</v>
      </c>
      <c r="F4" s="9" t="s">
        <v>109</v>
      </c>
      <c r="G4" s="9" t="s">
        <v>110</v>
      </c>
      <c r="H4" s="9" t="s">
        <v>60</v>
      </c>
      <c r="I4" s="17">
        <v>45860.0</v>
      </c>
      <c r="J4" s="17">
        <v>45860.0</v>
      </c>
      <c r="K4" s="17">
        <v>45866.0</v>
      </c>
      <c r="L4" s="9">
        <f t="shared" si="1"/>
        <v>6</v>
      </c>
      <c r="M4" s="9">
        <f t="shared" si="2"/>
        <v>419</v>
      </c>
      <c r="N4" s="9">
        <v>3.0</v>
      </c>
      <c r="O4" s="9" t="s">
        <v>96</v>
      </c>
      <c r="P4" s="9" t="s">
        <v>99</v>
      </c>
      <c r="Q4" s="9" t="s">
        <v>100</v>
      </c>
      <c r="R4" s="23" t="s">
        <v>105</v>
      </c>
      <c r="S4" s="9"/>
    </row>
    <row r="5" ht="15.75" customHeight="1">
      <c r="A5" s="9" t="s">
        <v>29</v>
      </c>
      <c r="B5" s="9" t="s">
        <v>50</v>
      </c>
      <c r="C5" s="9" t="s">
        <v>111</v>
      </c>
      <c r="D5" s="9" t="s">
        <v>112</v>
      </c>
      <c r="E5" s="9" t="s">
        <v>57</v>
      </c>
      <c r="F5" s="9" t="s">
        <v>113</v>
      </c>
      <c r="G5" s="9" t="s">
        <v>114</v>
      </c>
      <c r="H5" s="9" t="s">
        <v>115</v>
      </c>
      <c r="I5" s="17">
        <v>45866.0</v>
      </c>
      <c r="J5" s="17">
        <v>45869.0</v>
      </c>
      <c r="K5" s="17">
        <v>45870.0</v>
      </c>
      <c r="L5" s="9">
        <f t="shared" si="1"/>
        <v>1</v>
      </c>
      <c r="M5" s="9">
        <f t="shared" si="2"/>
        <v>410</v>
      </c>
      <c r="N5" s="9">
        <v>5.0</v>
      </c>
      <c r="O5" s="9" t="s">
        <v>116</v>
      </c>
      <c r="P5" s="9" t="s">
        <v>117</v>
      </c>
      <c r="Q5" s="9" t="s">
        <v>118</v>
      </c>
      <c r="R5" s="23" t="s">
        <v>105</v>
      </c>
      <c r="S5" s="9"/>
    </row>
    <row r="6" ht="15.75" customHeight="1">
      <c r="A6" s="9" t="s">
        <v>29</v>
      </c>
      <c r="B6" s="9" t="s">
        <v>50</v>
      </c>
      <c r="C6" s="9" t="s">
        <v>111</v>
      </c>
      <c r="D6" s="9" t="s">
        <v>112</v>
      </c>
      <c r="E6" s="9" t="s">
        <v>57</v>
      </c>
      <c r="F6" s="9" t="s">
        <v>120</v>
      </c>
      <c r="G6" s="9" t="s">
        <v>122</v>
      </c>
      <c r="H6" s="9" t="s">
        <v>115</v>
      </c>
      <c r="I6" s="17">
        <v>45866.0</v>
      </c>
      <c r="J6" s="17">
        <v>45869.0</v>
      </c>
      <c r="K6" s="17">
        <v>45874.0</v>
      </c>
      <c r="L6" s="9">
        <f t="shared" si="1"/>
        <v>5</v>
      </c>
      <c r="M6" s="9">
        <f t="shared" si="2"/>
        <v>410</v>
      </c>
      <c r="N6" s="9">
        <v>5.0</v>
      </c>
      <c r="O6" s="9" t="s">
        <v>116</v>
      </c>
      <c r="P6" s="9" t="s">
        <v>117</v>
      </c>
      <c r="Q6" s="9" t="s">
        <v>118</v>
      </c>
      <c r="R6" s="23" t="s">
        <v>105</v>
      </c>
      <c r="S6" s="9"/>
    </row>
    <row r="7" ht="15.75" customHeight="1">
      <c r="A7" s="9" t="s">
        <v>29</v>
      </c>
      <c r="B7" s="9" t="s">
        <v>50</v>
      </c>
      <c r="C7" s="9" t="s">
        <v>111</v>
      </c>
      <c r="D7" s="9" t="s">
        <v>112</v>
      </c>
      <c r="E7" s="9" t="s">
        <v>57</v>
      </c>
      <c r="F7" s="9" t="s">
        <v>126</v>
      </c>
      <c r="G7" s="9" t="s">
        <v>127</v>
      </c>
      <c r="H7" s="9" t="s">
        <v>115</v>
      </c>
      <c r="I7" s="17">
        <v>45891.0</v>
      </c>
      <c r="J7" s="17">
        <v>45891.0</v>
      </c>
      <c r="K7" s="17">
        <v>45895.0</v>
      </c>
      <c r="L7" s="9">
        <f t="shared" si="1"/>
        <v>4</v>
      </c>
      <c r="M7" s="9">
        <f t="shared" si="2"/>
        <v>388</v>
      </c>
      <c r="N7" s="9">
        <v>5.0</v>
      </c>
      <c r="O7" s="9" t="s">
        <v>116</v>
      </c>
      <c r="P7" s="9" t="s">
        <v>117</v>
      </c>
      <c r="Q7" s="9" t="s">
        <v>118</v>
      </c>
      <c r="R7" s="23" t="s">
        <v>105</v>
      </c>
      <c r="S7" s="9"/>
    </row>
    <row r="8" ht="15.75" customHeight="1">
      <c r="A8" s="9" t="s">
        <v>29</v>
      </c>
      <c r="B8" s="9" t="s">
        <v>50</v>
      </c>
      <c r="C8" s="9" t="s">
        <v>53</v>
      </c>
      <c r="D8" s="9" t="s">
        <v>54</v>
      </c>
      <c r="E8" s="9" t="s">
        <v>57</v>
      </c>
      <c r="F8" s="9" t="s">
        <v>58</v>
      </c>
      <c r="G8" s="9" t="s">
        <v>59</v>
      </c>
      <c r="H8" s="9" t="s">
        <v>129</v>
      </c>
      <c r="I8" s="17">
        <v>45894.0</v>
      </c>
      <c r="J8" s="17">
        <v>45895.0</v>
      </c>
      <c r="K8" s="17">
        <v>45901.0</v>
      </c>
      <c r="L8" s="9">
        <f t="shared" si="1"/>
        <v>6</v>
      </c>
      <c r="M8" s="9">
        <f t="shared" si="2"/>
        <v>384</v>
      </c>
      <c r="N8" s="9">
        <v>5.0</v>
      </c>
      <c r="O8" s="9" t="s">
        <v>132</v>
      </c>
      <c r="P8" s="9" t="s">
        <v>117</v>
      </c>
      <c r="Q8" s="9" t="s">
        <v>133</v>
      </c>
      <c r="R8" s="23" t="s">
        <v>105</v>
      </c>
      <c r="S8" s="9"/>
    </row>
    <row r="9" ht="15.75" customHeight="1">
      <c r="A9" s="9" t="s">
        <v>29</v>
      </c>
      <c r="B9" s="9" t="s">
        <v>50</v>
      </c>
      <c r="C9" s="9" t="s">
        <v>53</v>
      </c>
      <c r="D9" s="9" t="s">
        <v>54</v>
      </c>
      <c r="E9" s="9" t="s">
        <v>57</v>
      </c>
      <c r="F9" s="9" t="s">
        <v>107</v>
      </c>
      <c r="G9" s="9" t="s">
        <v>108</v>
      </c>
      <c r="H9" s="9" t="s">
        <v>129</v>
      </c>
      <c r="I9" s="17">
        <v>45894.0</v>
      </c>
      <c r="J9" s="17">
        <v>45895.0</v>
      </c>
      <c r="K9" s="17">
        <v>45906.0</v>
      </c>
      <c r="L9" s="9">
        <f t="shared" si="1"/>
        <v>11</v>
      </c>
      <c r="M9" s="9">
        <f t="shared" si="2"/>
        <v>384</v>
      </c>
      <c r="N9" s="9">
        <v>5.0</v>
      </c>
      <c r="O9" s="9" t="s">
        <v>132</v>
      </c>
      <c r="P9" s="9" t="s">
        <v>117</v>
      </c>
      <c r="Q9" s="9" t="s">
        <v>133</v>
      </c>
      <c r="R9" s="23" t="s">
        <v>105</v>
      </c>
      <c r="S9" s="9"/>
    </row>
    <row r="10" ht="15.75" customHeight="1">
      <c r="A10" s="9" t="s">
        <v>29</v>
      </c>
      <c r="B10" s="9" t="s">
        <v>50</v>
      </c>
      <c r="C10" s="9" t="s">
        <v>53</v>
      </c>
      <c r="D10" s="9" t="s">
        <v>54</v>
      </c>
      <c r="E10" s="9" t="s">
        <v>57</v>
      </c>
      <c r="F10" s="9" t="s">
        <v>109</v>
      </c>
      <c r="G10" s="9" t="s">
        <v>110</v>
      </c>
      <c r="H10" s="9" t="s">
        <v>129</v>
      </c>
      <c r="I10" s="17">
        <v>45894.0</v>
      </c>
      <c r="J10" s="17">
        <v>45895.0</v>
      </c>
      <c r="K10" s="17">
        <v>45905.0</v>
      </c>
      <c r="L10" s="9">
        <f t="shared" si="1"/>
        <v>10</v>
      </c>
      <c r="M10" s="9">
        <f t="shared" si="2"/>
        <v>384</v>
      </c>
      <c r="N10" s="9">
        <v>5.0</v>
      </c>
      <c r="O10" s="9" t="s">
        <v>132</v>
      </c>
      <c r="P10" s="9" t="s">
        <v>117</v>
      </c>
      <c r="Q10" s="9" t="s">
        <v>133</v>
      </c>
      <c r="R10" s="23" t="s">
        <v>105</v>
      </c>
      <c r="S10" s="9"/>
    </row>
    <row r="11" ht="15.75" customHeight="1">
      <c r="A11" s="9" t="s">
        <v>29</v>
      </c>
      <c r="B11" s="9" t="s">
        <v>50</v>
      </c>
      <c r="C11" s="9" t="s">
        <v>111</v>
      </c>
      <c r="D11" s="9" t="s">
        <v>112</v>
      </c>
      <c r="E11" s="9" t="s">
        <v>135</v>
      </c>
      <c r="F11" s="9" t="s">
        <v>136</v>
      </c>
      <c r="G11" s="9" t="s">
        <v>137</v>
      </c>
      <c r="H11" s="9" t="s">
        <v>138</v>
      </c>
      <c r="I11" s="17">
        <v>45890.0</v>
      </c>
      <c r="J11" s="17">
        <v>45973.0</v>
      </c>
      <c r="K11" s="17">
        <v>45973.0</v>
      </c>
      <c r="L11" s="9">
        <f t="shared" si="1"/>
        <v>0</v>
      </c>
      <c r="M11" s="9">
        <f t="shared" si="2"/>
        <v>306</v>
      </c>
      <c r="N11" s="9">
        <v>5.0</v>
      </c>
      <c r="O11" s="23" t="s">
        <v>116</v>
      </c>
      <c r="P11" s="9" t="s">
        <v>99</v>
      </c>
      <c r="Q11" s="23" t="s">
        <v>139</v>
      </c>
      <c r="R11" s="23" t="s">
        <v>105</v>
      </c>
      <c r="S11" s="9"/>
    </row>
    <row r="12" ht="15.75" customHeight="1">
      <c r="A12" s="9" t="s">
        <v>29</v>
      </c>
      <c r="B12" s="9" t="s">
        <v>50</v>
      </c>
      <c r="C12" s="9" t="s">
        <v>111</v>
      </c>
      <c r="D12" s="9" t="s">
        <v>112</v>
      </c>
      <c r="E12" s="9" t="s">
        <v>135</v>
      </c>
      <c r="F12" s="9" t="s">
        <v>136</v>
      </c>
      <c r="G12" s="9" t="s">
        <v>137</v>
      </c>
      <c r="H12" s="9" t="s">
        <v>140</v>
      </c>
      <c r="I12" s="17">
        <v>45890.0</v>
      </c>
      <c r="J12" s="17">
        <v>45973.0</v>
      </c>
      <c r="K12" s="26">
        <v>46008.0</v>
      </c>
      <c r="L12" s="9">
        <f t="shared" si="1"/>
        <v>35</v>
      </c>
      <c r="M12" s="9">
        <f t="shared" si="2"/>
        <v>306</v>
      </c>
      <c r="N12" s="9">
        <v>5.0</v>
      </c>
      <c r="O12" s="23" t="s">
        <v>141</v>
      </c>
      <c r="P12" s="23" t="s">
        <v>117</v>
      </c>
      <c r="Q12" s="23" t="s">
        <v>142</v>
      </c>
      <c r="R12" s="23" t="s">
        <v>105</v>
      </c>
      <c r="S12" s="9"/>
    </row>
    <row r="13" ht="15.75" customHeight="1">
      <c r="A13" s="9" t="s">
        <v>29</v>
      </c>
      <c r="B13" s="9" t="s">
        <v>50</v>
      </c>
      <c r="C13" s="9" t="s">
        <v>111</v>
      </c>
      <c r="D13" s="9" t="s">
        <v>112</v>
      </c>
      <c r="E13" s="9" t="s">
        <v>135</v>
      </c>
      <c r="F13" s="9" t="s">
        <v>143</v>
      </c>
      <c r="G13" s="9" t="s">
        <v>144</v>
      </c>
      <c r="H13" s="9" t="s">
        <v>138</v>
      </c>
      <c r="I13" s="17">
        <v>45890.0</v>
      </c>
      <c r="J13" s="17">
        <v>45905.0</v>
      </c>
      <c r="K13" s="17">
        <v>45909.0</v>
      </c>
      <c r="L13" s="9">
        <f t="shared" si="1"/>
        <v>4</v>
      </c>
      <c r="M13" s="9">
        <f t="shared" si="2"/>
        <v>374</v>
      </c>
      <c r="N13" s="9">
        <v>5.0</v>
      </c>
      <c r="O13" s="9" t="s">
        <v>116</v>
      </c>
      <c r="P13" s="9" t="s">
        <v>99</v>
      </c>
      <c r="Q13" s="9" t="s">
        <v>145</v>
      </c>
      <c r="R13" s="23" t="s">
        <v>105</v>
      </c>
      <c r="S13" s="9"/>
    </row>
    <row r="14" ht="15.75" customHeight="1">
      <c r="A14" s="9" t="s">
        <v>29</v>
      </c>
      <c r="B14" s="9" t="s">
        <v>50</v>
      </c>
      <c r="C14" s="9" t="s">
        <v>111</v>
      </c>
      <c r="D14" s="9" t="s">
        <v>112</v>
      </c>
      <c r="E14" s="9" t="s">
        <v>135</v>
      </c>
      <c r="F14" s="9" t="s">
        <v>143</v>
      </c>
      <c r="G14" s="9" t="s">
        <v>144</v>
      </c>
      <c r="H14" s="9" t="s">
        <v>140</v>
      </c>
      <c r="I14" s="17">
        <v>45890.0</v>
      </c>
      <c r="J14" s="17">
        <v>45905.0</v>
      </c>
      <c r="K14" s="17">
        <v>45909.0</v>
      </c>
      <c r="L14" s="9">
        <f t="shared" si="1"/>
        <v>4</v>
      </c>
      <c r="M14" s="9">
        <f t="shared" si="2"/>
        <v>374</v>
      </c>
      <c r="N14" s="9">
        <v>5.0</v>
      </c>
      <c r="O14" s="9" t="s">
        <v>116</v>
      </c>
      <c r="P14" s="9" t="s">
        <v>117</v>
      </c>
      <c r="Q14" s="9"/>
      <c r="R14" s="23" t="s">
        <v>105</v>
      </c>
      <c r="S14" s="9"/>
    </row>
    <row r="15" ht="15.75" customHeight="1">
      <c r="A15" s="9" t="s">
        <v>29</v>
      </c>
      <c r="B15" s="9" t="s">
        <v>50</v>
      </c>
      <c r="C15" s="9" t="s">
        <v>146</v>
      </c>
      <c r="D15" s="9" t="s">
        <v>57</v>
      </c>
      <c r="E15" s="9" t="s">
        <v>57</v>
      </c>
      <c r="F15" s="9" t="s">
        <v>147</v>
      </c>
      <c r="G15" s="9" t="s">
        <v>148</v>
      </c>
      <c r="H15" s="9" t="s">
        <v>149</v>
      </c>
      <c r="I15" s="17">
        <v>45898.0</v>
      </c>
      <c r="J15" s="17">
        <v>45899.0</v>
      </c>
      <c r="K15" s="17">
        <v>45900.0</v>
      </c>
      <c r="L15" s="9">
        <f t="shared" si="1"/>
        <v>1</v>
      </c>
      <c r="M15" s="9">
        <f t="shared" si="2"/>
        <v>380</v>
      </c>
      <c r="N15" s="9">
        <v>2.0</v>
      </c>
      <c r="O15" s="9" t="s">
        <v>116</v>
      </c>
      <c r="P15" s="9" t="s">
        <v>99</v>
      </c>
      <c r="Q15" s="9" t="s">
        <v>150</v>
      </c>
      <c r="R15" s="23" t="s">
        <v>105</v>
      </c>
      <c r="S15" s="9"/>
    </row>
    <row r="16" ht="15.75" customHeight="1">
      <c r="A16" s="9" t="s">
        <v>29</v>
      </c>
      <c r="B16" s="9" t="s">
        <v>50</v>
      </c>
      <c r="C16" s="9" t="s">
        <v>146</v>
      </c>
      <c r="D16" s="9" t="s">
        <v>54</v>
      </c>
      <c r="E16" s="9" t="s">
        <v>57</v>
      </c>
      <c r="F16" s="9" t="s">
        <v>147</v>
      </c>
      <c r="G16" s="9" t="s">
        <v>148</v>
      </c>
      <c r="H16" s="9" t="s">
        <v>60</v>
      </c>
      <c r="I16" s="17">
        <v>45898.0</v>
      </c>
      <c r="J16" s="17">
        <v>45899.0</v>
      </c>
      <c r="K16" s="17">
        <v>45900.0</v>
      </c>
      <c r="L16" s="9">
        <f t="shared" si="1"/>
        <v>1</v>
      </c>
      <c r="M16" s="9">
        <f t="shared" si="2"/>
        <v>380</v>
      </c>
      <c r="N16" s="9">
        <v>2.0</v>
      </c>
      <c r="O16" s="9" t="s">
        <v>116</v>
      </c>
      <c r="P16" s="9" t="s">
        <v>99</v>
      </c>
      <c r="Q16" s="9" t="s">
        <v>151</v>
      </c>
      <c r="R16" s="23" t="s">
        <v>105</v>
      </c>
      <c r="S16" s="9"/>
    </row>
    <row r="17" ht="15.75" customHeight="1">
      <c r="A17" s="9" t="s">
        <v>29</v>
      </c>
      <c r="B17" s="9" t="s">
        <v>50</v>
      </c>
      <c r="C17" s="9" t="s">
        <v>146</v>
      </c>
      <c r="D17" s="9" t="s">
        <v>57</v>
      </c>
      <c r="E17" s="9" t="s">
        <v>57</v>
      </c>
      <c r="F17" s="9" t="s">
        <v>152</v>
      </c>
      <c r="G17" s="9" t="s">
        <v>153</v>
      </c>
      <c r="H17" s="9" t="s">
        <v>149</v>
      </c>
      <c r="I17" s="17">
        <v>45898.0</v>
      </c>
      <c r="J17" s="17">
        <v>45906.0</v>
      </c>
      <c r="K17" s="17">
        <v>45908.0</v>
      </c>
      <c r="L17" s="9">
        <f t="shared" si="1"/>
        <v>2</v>
      </c>
      <c r="M17" s="9">
        <f t="shared" si="2"/>
        <v>373</v>
      </c>
      <c r="N17" s="9">
        <v>2.0</v>
      </c>
      <c r="O17" s="9" t="s">
        <v>116</v>
      </c>
      <c r="P17" s="9" t="s">
        <v>99</v>
      </c>
      <c r="Q17" s="9" t="s">
        <v>150</v>
      </c>
      <c r="R17" s="23" t="s">
        <v>105</v>
      </c>
      <c r="S17" s="9"/>
    </row>
    <row r="18" ht="15.75" customHeight="1">
      <c r="A18" s="9" t="s">
        <v>29</v>
      </c>
      <c r="B18" s="9" t="s">
        <v>50</v>
      </c>
      <c r="C18" s="9" t="s">
        <v>146</v>
      </c>
      <c r="D18" s="9" t="s">
        <v>57</v>
      </c>
      <c r="E18" s="9" t="s">
        <v>57</v>
      </c>
      <c r="F18" s="9" t="s">
        <v>154</v>
      </c>
      <c r="G18" s="9" t="s">
        <v>155</v>
      </c>
      <c r="H18" s="9" t="s">
        <v>149</v>
      </c>
      <c r="I18" s="17">
        <v>45909.0</v>
      </c>
      <c r="J18" s="17">
        <v>45910.0</v>
      </c>
      <c r="K18" s="17">
        <v>45911.0</v>
      </c>
      <c r="L18" s="9">
        <f t="shared" si="1"/>
        <v>1</v>
      </c>
      <c r="M18" s="9">
        <f t="shared" si="2"/>
        <v>369</v>
      </c>
      <c r="N18" s="9">
        <v>2.0</v>
      </c>
      <c r="O18" s="9" t="s">
        <v>116</v>
      </c>
      <c r="P18" s="9" t="s">
        <v>99</v>
      </c>
      <c r="Q18" s="9" t="s">
        <v>150</v>
      </c>
      <c r="R18" s="23" t="s">
        <v>105</v>
      </c>
      <c r="S18" s="9"/>
    </row>
    <row r="19" ht="15.75" customHeight="1">
      <c r="A19" s="9" t="s">
        <v>29</v>
      </c>
      <c r="B19" s="9" t="s">
        <v>50</v>
      </c>
      <c r="C19" s="9" t="s">
        <v>146</v>
      </c>
      <c r="D19" s="9" t="s">
        <v>54</v>
      </c>
      <c r="E19" s="9" t="s">
        <v>57</v>
      </c>
      <c r="F19" s="9" t="s">
        <v>154</v>
      </c>
      <c r="G19" s="9" t="s">
        <v>155</v>
      </c>
      <c r="H19" s="9" t="s">
        <v>60</v>
      </c>
      <c r="I19" s="17">
        <v>45909.0</v>
      </c>
      <c r="J19" s="17">
        <v>45910.0</v>
      </c>
      <c r="K19" s="17">
        <v>45912.0</v>
      </c>
      <c r="L19" s="9">
        <f t="shared" si="1"/>
        <v>2</v>
      </c>
      <c r="M19" s="9">
        <f t="shared" si="2"/>
        <v>369</v>
      </c>
      <c r="N19" s="9">
        <v>2.0</v>
      </c>
      <c r="O19" s="9" t="s">
        <v>116</v>
      </c>
      <c r="P19" s="9" t="s">
        <v>99</v>
      </c>
      <c r="Q19" s="9" t="s">
        <v>151</v>
      </c>
      <c r="R19" s="23" t="s">
        <v>105</v>
      </c>
      <c r="S19" s="9"/>
    </row>
    <row r="20" ht="15.75" customHeight="1">
      <c r="A20" s="9" t="s">
        <v>29</v>
      </c>
      <c r="B20" s="9" t="s">
        <v>50</v>
      </c>
      <c r="C20" s="9" t="s">
        <v>53</v>
      </c>
      <c r="D20" s="9" t="s">
        <v>54</v>
      </c>
      <c r="E20" s="9" t="s">
        <v>57</v>
      </c>
      <c r="F20" s="9" t="s">
        <v>58</v>
      </c>
      <c r="G20" s="9" t="s">
        <v>59</v>
      </c>
      <c r="H20" s="9" t="s">
        <v>156</v>
      </c>
      <c r="I20" s="17">
        <v>45911.0</v>
      </c>
      <c r="J20" s="17">
        <v>45913.0</v>
      </c>
      <c r="K20" s="17">
        <v>45914.0</v>
      </c>
      <c r="L20" s="9">
        <f t="shared" si="1"/>
        <v>1</v>
      </c>
      <c r="M20" s="9">
        <f t="shared" si="2"/>
        <v>366</v>
      </c>
      <c r="N20" s="9">
        <v>2.0</v>
      </c>
      <c r="O20" s="9" t="s">
        <v>116</v>
      </c>
      <c r="P20" s="9" t="s">
        <v>157</v>
      </c>
      <c r="Q20" s="9"/>
      <c r="R20" s="23" t="s">
        <v>105</v>
      </c>
      <c r="S20" s="9"/>
    </row>
    <row r="21" ht="15.75" customHeight="1">
      <c r="A21" s="9" t="s">
        <v>29</v>
      </c>
      <c r="B21" s="9" t="s">
        <v>50</v>
      </c>
      <c r="C21" s="9" t="s">
        <v>53</v>
      </c>
      <c r="D21" s="9" t="s">
        <v>54</v>
      </c>
      <c r="E21" s="9" t="s">
        <v>57</v>
      </c>
      <c r="F21" s="9" t="s">
        <v>107</v>
      </c>
      <c r="G21" s="9" t="s">
        <v>108</v>
      </c>
      <c r="H21" s="9" t="s">
        <v>156</v>
      </c>
      <c r="I21" s="17">
        <v>45911.0</v>
      </c>
      <c r="J21" s="17">
        <v>45913.0</v>
      </c>
      <c r="K21" s="17">
        <v>45914.0</v>
      </c>
      <c r="L21" s="9">
        <f t="shared" si="1"/>
        <v>1</v>
      </c>
      <c r="M21" s="9">
        <f t="shared" si="2"/>
        <v>366</v>
      </c>
      <c r="N21" s="9">
        <v>2.0</v>
      </c>
      <c r="O21" s="9" t="s">
        <v>116</v>
      </c>
      <c r="P21" s="9" t="s">
        <v>157</v>
      </c>
      <c r="Q21" s="9"/>
      <c r="R21" s="23" t="s">
        <v>105</v>
      </c>
      <c r="S21" s="9"/>
    </row>
    <row r="22" ht="15.75" customHeight="1">
      <c r="A22" s="9" t="s">
        <v>29</v>
      </c>
      <c r="B22" s="9" t="s">
        <v>50</v>
      </c>
      <c r="C22" s="9" t="s">
        <v>53</v>
      </c>
      <c r="D22" s="9" t="s">
        <v>54</v>
      </c>
      <c r="E22" s="9" t="s">
        <v>57</v>
      </c>
      <c r="F22" s="9" t="s">
        <v>109</v>
      </c>
      <c r="G22" s="9" t="s">
        <v>110</v>
      </c>
      <c r="H22" s="9" t="s">
        <v>156</v>
      </c>
      <c r="I22" s="17">
        <v>45911.0</v>
      </c>
      <c r="J22" s="17">
        <v>45913.0</v>
      </c>
      <c r="K22" s="17">
        <v>45914.0</v>
      </c>
      <c r="L22" s="9">
        <f t="shared" si="1"/>
        <v>1</v>
      </c>
      <c r="M22" s="9">
        <f t="shared" si="2"/>
        <v>366</v>
      </c>
      <c r="N22" s="9">
        <v>2.0</v>
      </c>
      <c r="O22" s="9" t="s">
        <v>116</v>
      </c>
      <c r="P22" s="9" t="s">
        <v>157</v>
      </c>
      <c r="Q22" s="9"/>
      <c r="R22" s="23" t="s">
        <v>105</v>
      </c>
      <c r="S22" s="9"/>
    </row>
    <row r="23" ht="15.75" customHeight="1">
      <c r="A23" s="9" t="s">
        <v>29</v>
      </c>
      <c r="B23" s="9" t="s">
        <v>50</v>
      </c>
      <c r="C23" s="9" t="s">
        <v>146</v>
      </c>
      <c r="D23" s="9" t="s">
        <v>57</v>
      </c>
      <c r="E23" s="9" t="s">
        <v>57</v>
      </c>
      <c r="F23" s="9" t="s">
        <v>147</v>
      </c>
      <c r="G23" s="9" t="s">
        <v>148</v>
      </c>
      <c r="H23" s="9" t="s">
        <v>158</v>
      </c>
      <c r="I23" s="17">
        <v>45916.0</v>
      </c>
      <c r="J23" s="17">
        <v>45945.0</v>
      </c>
      <c r="K23" s="27">
        <v>46017.0</v>
      </c>
      <c r="L23" s="9">
        <f t="shared" si="1"/>
        <v>72</v>
      </c>
      <c r="M23" s="9">
        <f t="shared" si="2"/>
        <v>334</v>
      </c>
      <c r="N23" s="9">
        <v>2.0</v>
      </c>
      <c r="O23" s="23" t="s">
        <v>159</v>
      </c>
      <c r="P23" s="23" t="s">
        <v>117</v>
      </c>
      <c r="Q23" s="23" t="s">
        <v>160</v>
      </c>
      <c r="R23" s="23" t="s">
        <v>105</v>
      </c>
      <c r="S23" s="23"/>
    </row>
    <row r="24" ht="15.75" customHeight="1">
      <c r="A24" s="9" t="s">
        <v>29</v>
      </c>
      <c r="B24" s="9" t="s">
        <v>50</v>
      </c>
      <c r="C24" s="9" t="s">
        <v>146</v>
      </c>
      <c r="D24" s="9" t="s">
        <v>54</v>
      </c>
      <c r="E24" s="9" t="s">
        <v>57</v>
      </c>
      <c r="F24" s="9" t="s">
        <v>147</v>
      </c>
      <c r="G24" s="9" t="s">
        <v>148</v>
      </c>
      <c r="H24" s="9" t="s">
        <v>129</v>
      </c>
      <c r="I24" s="17">
        <v>45916.0</v>
      </c>
      <c r="J24" s="17">
        <v>45945.0</v>
      </c>
      <c r="K24" s="27">
        <v>46017.0</v>
      </c>
      <c r="L24" s="9">
        <f t="shared" si="1"/>
        <v>72</v>
      </c>
      <c r="M24" s="9">
        <f t="shared" si="2"/>
        <v>334</v>
      </c>
      <c r="N24" s="9">
        <v>2.0</v>
      </c>
      <c r="O24" s="23" t="s">
        <v>159</v>
      </c>
      <c r="P24" s="23" t="s">
        <v>117</v>
      </c>
      <c r="Q24" s="23" t="s">
        <v>161</v>
      </c>
      <c r="R24" s="23" t="s">
        <v>105</v>
      </c>
      <c r="S24" s="23"/>
    </row>
    <row r="25" ht="12.75" customHeight="1">
      <c r="A25" s="9" t="s">
        <v>29</v>
      </c>
      <c r="B25" s="9" t="s">
        <v>50</v>
      </c>
      <c r="C25" s="9" t="s">
        <v>146</v>
      </c>
      <c r="D25" s="9" t="s">
        <v>57</v>
      </c>
      <c r="E25" s="9" t="s">
        <v>57</v>
      </c>
      <c r="F25" s="9" t="s">
        <v>152</v>
      </c>
      <c r="G25" s="9" t="s">
        <v>153</v>
      </c>
      <c r="H25" s="9" t="s">
        <v>158</v>
      </c>
      <c r="I25" s="17">
        <v>45916.0</v>
      </c>
      <c r="J25" s="17">
        <v>45943.0</v>
      </c>
      <c r="K25" s="17">
        <v>45964.0</v>
      </c>
      <c r="L25" s="9">
        <f t="shared" si="1"/>
        <v>21</v>
      </c>
      <c r="M25" s="9">
        <f t="shared" si="2"/>
        <v>336</v>
      </c>
      <c r="N25" s="9">
        <v>2.0</v>
      </c>
      <c r="O25" s="23" t="s">
        <v>162</v>
      </c>
      <c r="P25" s="23" t="s">
        <v>117</v>
      </c>
      <c r="Q25" s="23" t="s">
        <v>160</v>
      </c>
      <c r="R25" s="23" t="s">
        <v>105</v>
      </c>
      <c r="S25" s="23"/>
    </row>
    <row r="26" ht="12.75" customHeight="1">
      <c r="A26" s="9" t="s">
        <v>29</v>
      </c>
      <c r="B26" s="9" t="s">
        <v>50</v>
      </c>
      <c r="C26" s="9" t="s">
        <v>146</v>
      </c>
      <c r="D26" s="9" t="s">
        <v>57</v>
      </c>
      <c r="E26" s="9" t="s">
        <v>57</v>
      </c>
      <c r="F26" s="9" t="s">
        <v>154</v>
      </c>
      <c r="G26" s="9" t="s">
        <v>155</v>
      </c>
      <c r="H26" s="9" t="s">
        <v>158</v>
      </c>
      <c r="I26" s="17">
        <v>45916.0</v>
      </c>
      <c r="J26" s="17">
        <v>45950.0</v>
      </c>
      <c r="K26" s="26">
        <v>46022.0</v>
      </c>
      <c r="L26" s="9">
        <f t="shared" si="1"/>
        <v>72</v>
      </c>
      <c r="M26" s="9">
        <f t="shared" si="2"/>
        <v>329</v>
      </c>
      <c r="N26" s="9">
        <v>2.0</v>
      </c>
      <c r="O26" s="23" t="s">
        <v>162</v>
      </c>
      <c r="P26" s="23" t="s">
        <v>117</v>
      </c>
      <c r="Q26" s="23" t="s">
        <v>160</v>
      </c>
      <c r="R26" s="23" t="s">
        <v>105</v>
      </c>
      <c r="S26" s="23"/>
    </row>
    <row r="27" ht="12.75" customHeight="1">
      <c r="A27" s="9" t="s">
        <v>29</v>
      </c>
      <c r="B27" s="9" t="s">
        <v>50</v>
      </c>
      <c r="C27" s="9" t="s">
        <v>163</v>
      </c>
      <c r="D27" s="9" t="s">
        <v>54</v>
      </c>
      <c r="E27" s="9" t="s">
        <v>57</v>
      </c>
      <c r="F27" s="23" t="s">
        <v>107</v>
      </c>
      <c r="G27" s="23" t="s">
        <v>108</v>
      </c>
      <c r="H27" s="9" t="s">
        <v>164</v>
      </c>
      <c r="I27" s="17">
        <v>45933.0</v>
      </c>
      <c r="J27" s="17">
        <v>45935.0</v>
      </c>
      <c r="K27" s="17">
        <v>45945.0</v>
      </c>
      <c r="L27" s="9">
        <f t="shared" si="1"/>
        <v>10</v>
      </c>
      <c r="M27" s="9">
        <f t="shared" si="2"/>
        <v>344</v>
      </c>
      <c r="N27" s="23">
        <v>7.0</v>
      </c>
      <c r="O27" s="23" t="s">
        <v>165</v>
      </c>
      <c r="P27" s="23" t="s">
        <v>166</v>
      </c>
      <c r="Q27" s="23" t="s">
        <v>167</v>
      </c>
      <c r="R27" s="23" t="s">
        <v>105</v>
      </c>
      <c r="S27" s="23"/>
    </row>
    <row r="28" ht="12.75" customHeight="1">
      <c r="A28" s="9" t="s">
        <v>29</v>
      </c>
      <c r="B28" s="9" t="s">
        <v>50</v>
      </c>
      <c r="C28" s="9" t="s">
        <v>163</v>
      </c>
      <c r="D28" s="9" t="s">
        <v>54</v>
      </c>
      <c r="E28" s="9" t="s">
        <v>57</v>
      </c>
      <c r="F28" s="9" t="s">
        <v>109</v>
      </c>
      <c r="G28" s="9" t="s">
        <v>110</v>
      </c>
      <c r="H28" s="9" t="s">
        <v>164</v>
      </c>
      <c r="I28" s="17">
        <v>45933.0</v>
      </c>
      <c r="J28" s="17">
        <v>45935.0</v>
      </c>
      <c r="K28" s="17">
        <v>45941.0</v>
      </c>
      <c r="L28" s="9">
        <f t="shared" si="1"/>
        <v>6</v>
      </c>
      <c r="M28" s="9">
        <f t="shared" si="2"/>
        <v>344</v>
      </c>
      <c r="N28" s="23">
        <v>7.0</v>
      </c>
      <c r="O28" s="9" t="s">
        <v>116</v>
      </c>
      <c r="P28" s="23" t="s">
        <v>166</v>
      </c>
      <c r="Q28" s="23" t="s">
        <v>168</v>
      </c>
      <c r="R28" s="23" t="s">
        <v>105</v>
      </c>
      <c r="S28" s="23"/>
    </row>
    <row r="29" ht="12.75" customHeight="1">
      <c r="A29" s="9" t="s">
        <v>29</v>
      </c>
      <c r="B29" s="9" t="s">
        <v>50</v>
      </c>
      <c r="C29" s="9" t="s">
        <v>146</v>
      </c>
      <c r="D29" s="9" t="s">
        <v>54</v>
      </c>
      <c r="E29" s="9" t="s">
        <v>57</v>
      </c>
      <c r="F29" s="9" t="s">
        <v>169</v>
      </c>
      <c r="G29" s="9" t="s">
        <v>170</v>
      </c>
      <c r="H29" s="9" t="s">
        <v>60</v>
      </c>
      <c r="I29" s="17">
        <v>45934.0</v>
      </c>
      <c r="J29" s="17">
        <v>45935.0</v>
      </c>
      <c r="K29" s="17">
        <v>45937.0</v>
      </c>
      <c r="L29" s="9">
        <f t="shared" si="1"/>
        <v>2</v>
      </c>
      <c r="M29" s="9">
        <f t="shared" si="2"/>
        <v>344</v>
      </c>
      <c r="N29" s="9">
        <v>2.0</v>
      </c>
      <c r="O29" s="9" t="s">
        <v>116</v>
      </c>
      <c r="P29" s="23" t="s">
        <v>99</v>
      </c>
      <c r="Q29" s="23" t="s">
        <v>171</v>
      </c>
      <c r="R29" s="23" t="s">
        <v>105</v>
      </c>
      <c r="S29" s="23"/>
    </row>
    <row r="30" ht="12.75" customHeight="1">
      <c r="A30" s="9" t="s">
        <v>29</v>
      </c>
      <c r="B30" s="9" t="s">
        <v>50</v>
      </c>
      <c r="C30" s="9" t="s">
        <v>146</v>
      </c>
      <c r="D30" s="9" t="s">
        <v>57</v>
      </c>
      <c r="E30" s="9" t="s">
        <v>57</v>
      </c>
      <c r="F30" s="9" t="s">
        <v>169</v>
      </c>
      <c r="G30" s="9" t="s">
        <v>170</v>
      </c>
      <c r="H30" s="9" t="s">
        <v>149</v>
      </c>
      <c r="I30" s="17">
        <v>45934.0</v>
      </c>
      <c r="J30" s="17">
        <v>45935.0</v>
      </c>
      <c r="K30" s="17">
        <v>45937.0</v>
      </c>
      <c r="L30" s="9">
        <f t="shared" si="1"/>
        <v>2</v>
      </c>
      <c r="M30" s="9">
        <f t="shared" si="2"/>
        <v>344</v>
      </c>
      <c r="N30" s="9">
        <v>2.0</v>
      </c>
      <c r="O30" s="9" t="s">
        <v>116</v>
      </c>
      <c r="P30" s="23" t="s">
        <v>99</v>
      </c>
      <c r="Q30" s="23" t="s">
        <v>150</v>
      </c>
      <c r="R30" s="23" t="s">
        <v>105</v>
      </c>
      <c r="S30" s="23"/>
    </row>
    <row r="31" ht="12.75" customHeight="1">
      <c r="A31" s="9" t="s">
        <v>29</v>
      </c>
      <c r="B31" s="9" t="s">
        <v>50</v>
      </c>
      <c r="C31" s="9" t="s">
        <v>146</v>
      </c>
      <c r="D31" s="9" t="s">
        <v>135</v>
      </c>
      <c r="E31" s="9" t="s">
        <v>135</v>
      </c>
      <c r="F31" s="9" t="s">
        <v>172</v>
      </c>
      <c r="G31" s="9" t="s">
        <v>173</v>
      </c>
      <c r="H31" s="9" t="s">
        <v>174</v>
      </c>
      <c r="I31" s="17">
        <v>45936.0</v>
      </c>
      <c r="J31" s="17">
        <v>45936.0</v>
      </c>
      <c r="K31" s="17">
        <v>45938.0</v>
      </c>
      <c r="L31" s="9">
        <f t="shared" si="1"/>
        <v>2</v>
      </c>
      <c r="M31" s="9">
        <f t="shared" si="2"/>
        <v>343</v>
      </c>
      <c r="N31" s="9">
        <v>2.0</v>
      </c>
      <c r="O31" s="9" t="s">
        <v>116</v>
      </c>
      <c r="P31" s="23" t="s">
        <v>99</v>
      </c>
      <c r="Q31" s="23" t="s">
        <v>175</v>
      </c>
      <c r="R31" s="23" t="s">
        <v>105</v>
      </c>
      <c r="S31" s="23"/>
    </row>
    <row r="32" ht="12.75" customHeight="1">
      <c r="A32" s="9" t="s">
        <v>29</v>
      </c>
      <c r="B32" s="9" t="s">
        <v>50</v>
      </c>
      <c r="C32" s="9" t="s">
        <v>146</v>
      </c>
      <c r="D32" s="9" t="s">
        <v>135</v>
      </c>
      <c r="E32" s="9" t="s">
        <v>135</v>
      </c>
      <c r="F32" s="9" t="s">
        <v>176</v>
      </c>
      <c r="G32" s="9" t="s">
        <v>177</v>
      </c>
      <c r="H32" s="9" t="s">
        <v>174</v>
      </c>
      <c r="I32" s="17">
        <v>45936.0</v>
      </c>
      <c r="J32" s="17">
        <v>45936.0</v>
      </c>
      <c r="K32" s="17">
        <v>45939.0</v>
      </c>
      <c r="L32" s="9">
        <f t="shared" si="1"/>
        <v>3</v>
      </c>
      <c r="M32" s="9">
        <f t="shared" si="2"/>
        <v>343</v>
      </c>
      <c r="N32" s="9">
        <v>2.0</v>
      </c>
      <c r="O32" s="9" t="s">
        <v>116</v>
      </c>
      <c r="P32" s="23" t="s">
        <v>99</v>
      </c>
      <c r="Q32" s="23" t="s">
        <v>175</v>
      </c>
      <c r="R32" s="23" t="s">
        <v>105</v>
      </c>
      <c r="S32" s="23"/>
    </row>
    <row r="33" ht="12.75" customHeight="1">
      <c r="A33" s="9" t="s">
        <v>29</v>
      </c>
      <c r="B33" s="9" t="s">
        <v>50</v>
      </c>
      <c r="C33" s="9" t="s">
        <v>146</v>
      </c>
      <c r="D33" s="9" t="s">
        <v>135</v>
      </c>
      <c r="E33" s="9" t="s">
        <v>135</v>
      </c>
      <c r="F33" s="9" t="s">
        <v>178</v>
      </c>
      <c r="G33" s="9" t="s">
        <v>179</v>
      </c>
      <c r="H33" s="9" t="s">
        <v>174</v>
      </c>
      <c r="I33" s="17">
        <v>45936.0</v>
      </c>
      <c r="J33" s="17">
        <v>45936.0</v>
      </c>
      <c r="K33" s="17">
        <v>45938.0</v>
      </c>
      <c r="L33" s="9">
        <f t="shared" si="1"/>
        <v>2</v>
      </c>
      <c r="M33" s="9">
        <f t="shared" si="2"/>
        <v>343</v>
      </c>
      <c r="N33" s="9">
        <v>2.0</v>
      </c>
      <c r="O33" s="9" t="s">
        <v>116</v>
      </c>
      <c r="P33" s="23" t="s">
        <v>99</v>
      </c>
      <c r="Q33" s="23" t="s">
        <v>180</v>
      </c>
      <c r="R33" s="23" t="s">
        <v>105</v>
      </c>
      <c r="S33" s="23"/>
    </row>
    <row r="34" ht="12.75" customHeight="1">
      <c r="A34" s="9" t="s">
        <v>29</v>
      </c>
      <c r="B34" s="9" t="s">
        <v>50</v>
      </c>
      <c r="C34" s="9" t="s">
        <v>146</v>
      </c>
      <c r="D34" s="9" t="s">
        <v>135</v>
      </c>
      <c r="E34" s="9" t="s">
        <v>135</v>
      </c>
      <c r="F34" s="9" t="s">
        <v>181</v>
      </c>
      <c r="G34" s="9" t="s">
        <v>182</v>
      </c>
      <c r="H34" s="9" t="s">
        <v>174</v>
      </c>
      <c r="I34" s="17">
        <v>45936.0</v>
      </c>
      <c r="J34" s="17">
        <v>45936.0</v>
      </c>
      <c r="K34" s="17">
        <v>45938.0</v>
      </c>
      <c r="L34" s="9">
        <f t="shared" si="1"/>
        <v>2</v>
      </c>
      <c r="M34" s="9">
        <f t="shared" si="2"/>
        <v>343</v>
      </c>
      <c r="N34" s="9">
        <v>2.0</v>
      </c>
      <c r="O34" s="9" t="s">
        <v>116</v>
      </c>
      <c r="P34" s="23" t="s">
        <v>99</v>
      </c>
      <c r="Q34" s="23" t="s">
        <v>180</v>
      </c>
      <c r="R34" s="23" t="s">
        <v>105</v>
      </c>
      <c r="S34" s="23"/>
    </row>
    <row r="35" ht="12.75" customHeight="1">
      <c r="A35" s="9" t="s">
        <v>29</v>
      </c>
      <c r="B35" s="9" t="s">
        <v>50</v>
      </c>
      <c r="C35" s="23" t="s">
        <v>146</v>
      </c>
      <c r="D35" s="23" t="s">
        <v>135</v>
      </c>
      <c r="E35" s="9" t="s">
        <v>135</v>
      </c>
      <c r="F35" s="23" t="s">
        <v>183</v>
      </c>
      <c r="G35" s="23" t="s">
        <v>184</v>
      </c>
      <c r="H35" s="23" t="s">
        <v>174</v>
      </c>
      <c r="I35" s="17">
        <v>45936.0</v>
      </c>
      <c r="J35" s="17">
        <v>45936.0</v>
      </c>
      <c r="K35" s="17">
        <v>45938.0</v>
      </c>
      <c r="L35" s="9">
        <f t="shared" si="1"/>
        <v>2</v>
      </c>
      <c r="M35" s="9">
        <f t="shared" si="2"/>
        <v>343</v>
      </c>
      <c r="N35" s="23">
        <v>2.0</v>
      </c>
      <c r="O35" s="9" t="s">
        <v>116</v>
      </c>
      <c r="P35" s="23" t="s">
        <v>99</v>
      </c>
      <c r="Q35" s="23" t="s">
        <v>185</v>
      </c>
      <c r="R35" s="23" t="s">
        <v>105</v>
      </c>
      <c r="S35" s="23"/>
    </row>
    <row r="36" ht="12.75" customHeight="1">
      <c r="A36" s="9" t="s">
        <v>29</v>
      </c>
      <c r="B36" s="9" t="s">
        <v>50</v>
      </c>
      <c r="C36" s="23" t="s">
        <v>146</v>
      </c>
      <c r="D36" s="23" t="s">
        <v>135</v>
      </c>
      <c r="E36" s="9" t="s">
        <v>135</v>
      </c>
      <c r="F36" s="23" t="s">
        <v>186</v>
      </c>
      <c r="G36" s="23" t="s">
        <v>187</v>
      </c>
      <c r="H36" s="23" t="s">
        <v>174</v>
      </c>
      <c r="I36" s="17">
        <v>45936.0</v>
      </c>
      <c r="J36" s="17">
        <v>45936.0</v>
      </c>
      <c r="K36" s="17">
        <v>45938.0</v>
      </c>
      <c r="L36" s="9">
        <f t="shared" si="1"/>
        <v>2</v>
      </c>
      <c r="M36" s="9">
        <f t="shared" si="2"/>
        <v>343</v>
      </c>
      <c r="N36" s="23">
        <v>2.0</v>
      </c>
      <c r="O36" s="9" t="s">
        <v>116</v>
      </c>
      <c r="P36" s="23" t="s">
        <v>99</v>
      </c>
      <c r="Q36" s="23" t="s">
        <v>188</v>
      </c>
      <c r="R36" s="23" t="s">
        <v>105</v>
      </c>
      <c r="S36" s="23"/>
    </row>
    <row r="37" ht="12.75" customHeight="1">
      <c r="A37" s="9" t="s">
        <v>29</v>
      </c>
      <c r="B37" s="23" t="s">
        <v>86</v>
      </c>
      <c r="C37" s="23" t="s">
        <v>189</v>
      </c>
      <c r="D37" s="23" t="s">
        <v>135</v>
      </c>
      <c r="E37" s="9" t="s">
        <v>135</v>
      </c>
      <c r="F37" s="23" t="s">
        <v>190</v>
      </c>
      <c r="G37" s="23" t="s">
        <v>191</v>
      </c>
      <c r="H37" s="23" t="s">
        <v>174</v>
      </c>
      <c r="I37" s="17">
        <v>45940.0</v>
      </c>
      <c r="J37" s="17">
        <v>45971.0</v>
      </c>
      <c r="K37" s="17">
        <v>45971.0</v>
      </c>
      <c r="L37" s="9">
        <f t="shared" si="1"/>
        <v>0</v>
      </c>
      <c r="M37" s="9">
        <f t="shared" si="2"/>
        <v>308</v>
      </c>
      <c r="N37" s="23">
        <v>2.0</v>
      </c>
      <c r="O37" s="9" t="s">
        <v>116</v>
      </c>
      <c r="P37" s="23" t="s">
        <v>99</v>
      </c>
      <c r="Q37" s="23" t="s">
        <v>139</v>
      </c>
      <c r="R37" s="23" t="s">
        <v>105</v>
      </c>
      <c r="S37" s="23"/>
    </row>
    <row r="38" ht="12.75" customHeight="1">
      <c r="A38" s="9" t="s">
        <v>29</v>
      </c>
      <c r="B38" s="23" t="s">
        <v>86</v>
      </c>
      <c r="C38" s="23" t="s">
        <v>189</v>
      </c>
      <c r="D38" s="23" t="s">
        <v>135</v>
      </c>
      <c r="E38" s="9" t="s">
        <v>135</v>
      </c>
      <c r="F38" s="23" t="s">
        <v>192</v>
      </c>
      <c r="G38" s="23" t="s">
        <v>193</v>
      </c>
      <c r="H38" s="23" t="s">
        <v>174</v>
      </c>
      <c r="I38" s="17">
        <v>45940.0</v>
      </c>
      <c r="J38" s="17">
        <v>45965.0</v>
      </c>
      <c r="K38" s="17">
        <v>45965.0</v>
      </c>
      <c r="L38" s="9">
        <f t="shared" si="1"/>
        <v>0</v>
      </c>
      <c r="M38" s="9">
        <f t="shared" si="2"/>
        <v>314</v>
      </c>
      <c r="N38" s="23">
        <v>7.0</v>
      </c>
      <c r="O38" s="9" t="s">
        <v>116</v>
      </c>
      <c r="P38" s="23" t="s">
        <v>99</v>
      </c>
      <c r="Q38" s="23" t="s">
        <v>194</v>
      </c>
      <c r="R38" s="23" t="s">
        <v>105</v>
      </c>
      <c r="S38" s="23"/>
    </row>
    <row r="39" ht="12.75" customHeight="1">
      <c r="A39" s="9" t="s">
        <v>29</v>
      </c>
      <c r="B39" s="23" t="s">
        <v>86</v>
      </c>
      <c r="C39" s="23" t="s">
        <v>189</v>
      </c>
      <c r="D39" s="23" t="s">
        <v>135</v>
      </c>
      <c r="E39" s="9" t="s">
        <v>135</v>
      </c>
      <c r="F39" s="23" t="s">
        <v>195</v>
      </c>
      <c r="G39" s="23" t="s">
        <v>196</v>
      </c>
      <c r="H39" s="23" t="s">
        <v>174</v>
      </c>
      <c r="I39" s="17">
        <v>45940.0</v>
      </c>
      <c r="J39" s="17">
        <v>45972.0</v>
      </c>
      <c r="K39" s="17">
        <v>45972.0</v>
      </c>
      <c r="L39" s="9">
        <f t="shared" si="1"/>
        <v>0</v>
      </c>
      <c r="M39" s="9">
        <f t="shared" si="2"/>
        <v>307</v>
      </c>
      <c r="N39" s="23">
        <v>7.0</v>
      </c>
      <c r="O39" s="9" t="s">
        <v>116</v>
      </c>
      <c r="P39" s="23" t="s">
        <v>99</v>
      </c>
      <c r="Q39" s="23" t="s">
        <v>197</v>
      </c>
      <c r="R39" s="23" t="s">
        <v>105</v>
      </c>
      <c r="S39" s="23"/>
    </row>
    <row r="40" ht="12.75" customHeight="1">
      <c r="A40" s="9" t="s">
        <v>29</v>
      </c>
      <c r="B40" s="23" t="s">
        <v>86</v>
      </c>
      <c r="C40" s="23" t="s">
        <v>189</v>
      </c>
      <c r="D40" s="23" t="s">
        <v>135</v>
      </c>
      <c r="E40" s="9" t="s">
        <v>135</v>
      </c>
      <c r="F40" s="23" t="s">
        <v>198</v>
      </c>
      <c r="G40" s="23" t="s">
        <v>199</v>
      </c>
      <c r="H40" s="23" t="s">
        <v>174</v>
      </c>
      <c r="I40" s="17">
        <v>45940.0</v>
      </c>
      <c r="J40" s="17">
        <v>45962.0</v>
      </c>
      <c r="K40" s="26">
        <v>45976.0</v>
      </c>
      <c r="L40" s="9">
        <f t="shared" si="1"/>
        <v>14</v>
      </c>
      <c r="M40" s="9">
        <f t="shared" si="2"/>
        <v>317</v>
      </c>
      <c r="N40" s="23">
        <v>7.0</v>
      </c>
      <c r="O40" s="23" t="s">
        <v>200</v>
      </c>
      <c r="P40" s="23" t="s">
        <v>99</v>
      </c>
      <c r="Q40" s="23" t="s">
        <v>194</v>
      </c>
      <c r="R40" s="23" t="s">
        <v>105</v>
      </c>
      <c r="S40" s="23"/>
    </row>
    <row r="41" ht="12.75" customHeight="1">
      <c r="A41" s="9" t="s">
        <v>29</v>
      </c>
      <c r="B41" s="23" t="s">
        <v>86</v>
      </c>
      <c r="C41" s="23" t="s">
        <v>189</v>
      </c>
      <c r="D41" s="23" t="s">
        <v>135</v>
      </c>
      <c r="E41" s="9" t="s">
        <v>135</v>
      </c>
      <c r="F41" s="23" t="s">
        <v>201</v>
      </c>
      <c r="G41" s="23" t="s">
        <v>202</v>
      </c>
      <c r="H41" s="23" t="s">
        <v>174</v>
      </c>
      <c r="I41" s="17">
        <v>45940.0</v>
      </c>
      <c r="J41" s="17">
        <v>45962.0</v>
      </c>
      <c r="K41" s="26">
        <v>45976.0</v>
      </c>
      <c r="L41" s="9">
        <f t="shared" si="1"/>
        <v>14</v>
      </c>
      <c r="M41" s="9">
        <f t="shared" si="2"/>
        <v>317</v>
      </c>
      <c r="N41" s="23">
        <v>7.0</v>
      </c>
      <c r="O41" s="23" t="s">
        <v>200</v>
      </c>
      <c r="P41" s="23" t="s">
        <v>99</v>
      </c>
      <c r="Q41" s="23" t="s">
        <v>139</v>
      </c>
      <c r="R41" s="23" t="s">
        <v>105</v>
      </c>
      <c r="S41" s="23"/>
    </row>
    <row r="42" ht="12.75" customHeight="1">
      <c r="A42" s="9" t="s">
        <v>29</v>
      </c>
      <c r="B42" s="9" t="s">
        <v>50</v>
      </c>
      <c r="C42" s="23" t="s">
        <v>189</v>
      </c>
      <c r="D42" s="23" t="s">
        <v>135</v>
      </c>
      <c r="E42" s="9" t="s">
        <v>135</v>
      </c>
      <c r="F42" s="23" t="s">
        <v>203</v>
      </c>
      <c r="G42" s="23" t="s">
        <v>204</v>
      </c>
      <c r="H42" s="23" t="s">
        <v>174</v>
      </c>
      <c r="I42" s="17">
        <v>45940.0</v>
      </c>
      <c r="J42" s="17">
        <v>45962.0</v>
      </c>
      <c r="K42" s="17">
        <v>45971.0</v>
      </c>
      <c r="L42" s="9">
        <f t="shared" si="1"/>
        <v>9</v>
      </c>
      <c r="M42" s="9">
        <f t="shared" si="2"/>
        <v>317</v>
      </c>
      <c r="N42" s="23">
        <v>7.0</v>
      </c>
      <c r="O42" s="23" t="s">
        <v>200</v>
      </c>
      <c r="P42" s="23" t="s">
        <v>99</v>
      </c>
      <c r="Q42" s="23" t="s">
        <v>139</v>
      </c>
      <c r="R42" s="23" t="s">
        <v>105</v>
      </c>
      <c r="S42" s="23"/>
    </row>
    <row r="43" ht="12.75" customHeight="1">
      <c r="A43" s="9" t="s">
        <v>29</v>
      </c>
      <c r="B43" s="9" t="s">
        <v>50</v>
      </c>
      <c r="C43" s="23" t="s">
        <v>189</v>
      </c>
      <c r="D43" s="23" t="s">
        <v>135</v>
      </c>
      <c r="E43" s="9" t="s">
        <v>135</v>
      </c>
      <c r="F43" s="23" t="s">
        <v>205</v>
      </c>
      <c r="G43" s="23" t="s">
        <v>206</v>
      </c>
      <c r="H43" s="23" t="s">
        <v>174</v>
      </c>
      <c r="I43" s="17">
        <v>45940.0</v>
      </c>
      <c r="J43" s="17">
        <v>45965.0</v>
      </c>
      <c r="K43" s="17">
        <v>45965.0</v>
      </c>
      <c r="L43" s="9">
        <f t="shared" si="1"/>
        <v>0</v>
      </c>
      <c r="M43" s="9">
        <f t="shared" si="2"/>
        <v>314</v>
      </c>
      <c r="N43" s="23">
        <v>7.0</v>
      </c>
      <c r="O43" s="9" t="s">
        <v>116</v>
      </c>
      <c r="P43" s="23" t="s">
        <v>99</v>
      </c>
      <c r="Q43" s="23" t="s">
        <v>139</v>
      </c>
      <c r="R43" s="23" t="s">
        <v>105</v>
      </c>
      <c r="S43" s="23"/>
    </row>
    <row r="44" ht="12.75" customHeight="1">
      <c r="A44" s="9" t="s">
        <v>29</v>
      </c>
      <c r="B44" s="9" t="s">
        <v>50</v>
      </c>
      <c r="C44" s="23" t="s">
        <v>189</v>
      </c>
      <c r="D44" s="23" t="s">
        <v>135</v>
      </c>
      <c r="E44" s="9" t="s">
        <v>135</v>
      </c>
      <c r="F44" s="23" t="s">
        <v>207</v>
      </c>
      <c r="G44" s="23" t="s">
        <v>208</v>
      </c>
      <c r="H44" s="23" t="s">
        <v>174</v>
      </c>
      <c r="I44" s="17">
        <v>45940.0</v>
      </c>
      <c r="J44" s="17">
        <v>45971.0</v>
      </c>
      <c r="K44" s="26">
        <v>45972.0</v>
      </c>
      <c r="L44" s="9">
        <f t="shared" si="1"/>
        <v>1</v>
      </c>
      <c r="M44" s="9">
        <f t="shared" si="2"/>
        <v>308</v>
      </c>
      <c r="N44" s="23">
        <v>7.0</v>
      </c>
      <c r="O44" s="9" t="s">
        <v>116</v>
      </c>
      <c r="P44" s="23" t="s">
        <v>99</v>
      </c>
      <c r="Q44" s="23" t="s">
        <v>209</v>
      </c>
      <c r="R44" s="23" t="s">
        <v>105</v>
      </c>
      <c r="S44" s="23"/>
    </row>
    <row r="45" ht="12.75" customHeight="1">
      <c r="A45" s="9" t="s">
        <v>29</v>
      </c>
      <c r="B45" s="9" t="s">
        <v>50</v>
      </c>
      <c r="C45" s="23" t="s">
        <v>111</v>
      </c>
      <c r="D45" s="23" t="s">
        <v>112</v>
      </c>
      <c r="E45" s="9" t="s">
        <v>135</v>
      </c>
      <c r="F45" s="23" t="s">
        <v>143</v>
      </c>
      <c r="G45" s="23" t="s">
        <v>144</v>
      </c>
      <c r="H45" s="23" t="s">
        <v>210</v>
      </c>
      <c r="I45" s="17">
        <v>45965.0</v>
      </c>
      <c r="J45" s="17">
        <v>45966.0</v>
      </c>
      <c r="K45" s="17">
        <v>45968.0</v>
      </c>
      <c r="L45" s="9">
        <f t="shared" si="1"/>
        <v>2</v>
      </c>
      <c r="M45" s="9">
        <f t="shared" si="2"/>
        <v>313</v>
      </c>
      <c r="N45" s="23">
        <v>2.0</v>
      </c>
      <c r="O45" s="9" t="s">
        <v>116</v>
      </c>
      <c r="P45" s="23" t="s">
        <v>211</v>
      </c>
      <c r="Q45" s="23"/>
      <c r="R45" s="23" t="s">
        <v>105</v>
      </c>
      <c r="S45" s="23"/>
    </row>
    <row r="46" ht="12.75" customHeight="1">
      <c r="A46" s="9" t="s">
        <v>29</v>
      </c>
      <c r="B46" s="9" t="s">
        <v>50</v>
      </c>
      <c r="C46" s="23" t="s">
        <v>146</v>
      </c>
      <c r="D46" s="9" t="s">
        <v>57</v>
      </c>
      <c r="E46" s="9" t="s">
        <v>57</v>
      </c>
      <c r="F46" s="23" t="s">
        <v>169</v>
      </c>
      <c r="G46" s="23" t="s">
        <v>170</v>
      </c>
      <c r="H46" s="23" t="s">
        <v>158</v>
      </c>
      <c r="I46" s="17">
        <v>45969.0</v>
      </c>
      <c r="J46" s="26">
        <v>45977.0</v>
      </c>
      <c r="K46" s="26">
        <v>46026.0</v>
      </c>
      <c r="L46" s="9">
        <f t="shared" si="1"/>
        <v>49</v>
      </c>
      <c r="M46" s="9">
        <f t="shared" si="2"/>
        <v>302</v>
      </c>
      <c r="N46" s="23">
        <v>2.0</v>
      </c>
      <c r="O46" s="23" t="s">
        <v>212</v>
      </c>
      <c r="P46" s="23" t="s">
        <v>117</v>
      </c>
      <c r="Q46" s="23" t="s">
        <v>213</v>
      </c>
      <c r="R46" s="23" t="s">
        <v>105</v>
      </c>
      <c r="S46" s="23"/>
    </row>
    <row r="47" ht="12.75" customHeight="1">
      <c r="A47" s="9" t="s">
        <v>29</v>
      </c>
      <c r="B47" s="9" t="s">
        <v>50</v>
      </c>
      <c r="C47" s="23" t="s">
        <v>146</v>
      </c>
      <c r="D47" s="23" t="s">
        <v>54</v>
      </c>
      <c r="E47" s="9" t="s">
        <v>57</v>
      </c>
      <c r="F47" s="23" t="s">
        <v>169</v>
      </c>
      <c r="G47" s="23" t="s">
        <v>170</v>
      </c>
      <c r="H47" s="23" t="s">
        <v>129</v>
      </c>
      <c r="I47" s="17">
        <v>45969.0</v>
      </c>
      <c r="J47" s="26">
        <v>45977.0</v>
      </c>
      <c r="K47" s="26">
        <v>46021.0</v>
      </c>
      <c r="L47" s="9">
        <f t="shared" si="1"/>
        <v>44</v>
      </c>
      <c r="M47" s="9">
        <f t="shared" si="2"/>
        <v>302</v>
      </c>
      <c r="N47" s="23">
        <v>2.0</v>
      </c>
      <c r="O47" s="23" t="s">
        <v>212</v>
      </c>
      <c r="P47" s="23" t="s">
        <v>117</v>
      </c>
      <c r="Q47" s="23" t="s">
        <v>214</v>
      </c>
      <c r="R47" s="23" t="s">
        <v>105</v>
      </c>
      <c r="S47" s="23"/>
    </row>
    <row r="48" ht="12.75" customHeight="1">
      <c r="A48" s="9" t="s">
        <v>29</v>
      </c>
      <c r="B48" s="9" t="s">
        <v>215</v>
      </c>
      <c r="C48" s="23" t="s">
        <v>146</v>
      </c>
      <c r="D48" s="23" t="s">
        <v>54</v>
      </c>
      <c r="E48" s="9" t="s">
        <v>57</v>
      </c>
      <c r="F48" s="23" t="s">
        <v>216</v>
      </c>
      <c r="G48" s="23" t="s">
        <v>217</v>
      </c>
      <c r="H48" s="23" t="s">
        <v>129</v>
      </c>
      <c r="I48" s="17">
        <v>45969.0</v>
      </c>
      <c r="J48" s="17">
        <v>45973.0</v>
      </c>
      <c r="K48" s="26">
        <v>45979.0</v>
      </c>
      <c r="L48" s="9">
        <f t="shared" si="1"/>
        <v>6</v>
      </c>
      <c r="M48" s="9">
        <f t="shared" si="2"/>
        <v>306</v>
      </c>
      <c r="N48" s="23">
        <v>2.0</v>
      </c>
      <c r="O48" s="23" t="s">
        <v>218</v>
      </c>
      <c r="P48" s="23" t="s">
        <v>117</v>
      </c>
      <c r="Q48" s="23" t="s">
        <v>219</v>
      </c>
      <c r="R48" s="23" t="s">
        <v>105</v>
      </c>
      <c r="S48" s="23"/>
    </row>
    <row r="49" ht="12.75" customHeight="1">
      <c r="A49" s="9" t="s">
        <v>29</v>
      </c>
      <c r="B49" s="9" t="s">
        <v>50</v>
      </c>
      <c r="C49" s="23" t="s">
        <v>189</v>
      </c>
      <c r="D49" s="23" t="s">
        <v>135</v>
      </c>
      <c r="E49" s="9" t="s">
        <v>135</v>
      </c>
      <c r="F49" s="23" t="s">
        <v>205</v>
      </c>
      <c r="G49" s="23" t="s">
        <v>206</v>
      </c>
      <c r="H49" s="23" t="s">
        <v>140</v>
      </c>
      <c r="I49" s="17">
        <v>45940.0</v>
      </c>
      <c r="J49" s="17">
        <v>45971.0</v>
      </c>
      <c r="K49" s="17">
        <v>45972.0</v>
      </c>
      <c r="L49" s="9">
        <f t="shared" si="1"/>
        <v>1</v>
      </c>
      <c r="M49" s="9">
        <f t="shared" si="2"/>
        <v>308</v>
      </c>
      <c r="N49" s="23">
        <v>7.0</v>
      </c>
      <c r="O49" s="9" t="s">
        <v>116</v>
      </c>
      <c r="P49" s="23" t="s">
        <v>117</v>
      </c>
      <c r="Q49" s="23"/>
      <c r="R49" s="23" t="s">
        <v>105</v>
      </c>
      <c r="S49" s="23"/>
    </row>
    <row r="50" ht="12.75" customHeight="1">
      <c r="A50" s="9" t="s">
        <v>29</v>
      </c>
      <c r="B50" s="9" t="s">
        <v>50</v>
      </c>
      <c r="C50" s="23" t="s">
        <v>189</v>
      </c>
      <c r="D50" s="23" t="s">
        <v>135</v>
      </c>
      <c r="E50" s="9" t="s">
        <v>135</v>
      </c>
      <c r="F50" s="23" t="s">
        <v>203</v>
      </c>
      <c r="G50" s="23" t="s">
        <v>204</v>
      </c>
      <c r="H50" s="23" t="s">
        <v>140</v>
      </c>
      <c r="I50" s="17">
        <v>45940.0</v>
      </c>
      <c r="J50" s="17">
        <v>45972.0</v>
      </c>
      <c r="K50" s="17">
        <v>45972.0</v>
      </c>
      <c r="L50" s="9">
        <f t="shared" si="1"/>
        <v>0</v>
      </c>
      <c r="M50" s="9">
        <f t="shared" si="2"/>
        <v>307</v>
      </c>
      <c r="N50" s="23">
        <v>7.0</v>
      </c>
      <c r="O50" s="9" t="s">
        <v>116</v>
      </c>
      <c r="P50" s="23" t="s">
        <v>117</v>
      </c>
      <c r="Q50" s="23"/>
      <c r="R50" s="23" t="s">
        <v>105</v>
      </c>
      <c r="S50" s="23"/>
    </row>
    <row r="51" ht="12.75" customHeight="1">
      <c r="A51" s="9" t="s">
        <v>29</v>
      </c>
      <c r="B51" s="9" t="s">
        <v>86</v>
      </c>
      <c r="C51" s="23" t="s">
        <v>189</v>
      </c>
      <c r="D51" s="23" t="s">
        <v>135</v>
      </c>
      <c r="E51" s="9" t="s">
        <v>135</v>
      </c>
      <c r="F51" s="23" t="s">
        <v>190</v>
      </c>
      <c r="G51" s="23" t="s">
        <v>191</v>
      </c>
      <c r="H51" s="23" t="s">
        <v>140</v>
      </c>
      <c r="I51" s="17">
        <v>45940.0</v>
      </c>
      <c r="J51" s="26">
        <v>45979.0</v>
      </c>
      <c r="K51" s="26">
        <v>45981.0</v>
      </c>
      <c r="L51" s="9">
        <f t="shared" si="1"/>
        <v>2</v>
      </c>
      <c r="M51" s="9">
        <f t="shared" si="2"/>
        <v>300</v>
      </c>
      <c r="N51" s="23">
        <v>7.0</v>
      </c>
      <c r="O51" s="9" t="s">
        <v>116</v>
      </c>
      <c r="P51" s="23" t="s">
        <v>117</v>
      </c>
      <c r="Q51" s="23"/>
      <c r="R51" s="23" t="s">
        <v>105</v>
      </c>
      <c r="S51" s="23"/>
    </row>
    <row r="52" ht="12.75" customHeight="1">
      <c r="A52" s="9" t="s">
        <v>29</v>
      </c>
      <c r="B52" s="9" t="s">
        <v>86</v>
      </c>
      <c r="C52" s="23" t="s">
        <v>189</v>
      </c>
      <c r="D52" s="23" t="s">
        <v>135</v>
      </c>
      <c r="E52" s="9" t="s">
        <v>135</v>
      </c>
      <c r="F52" s="23" t="s">
        <v>195</v>
      </c>
      <c r="G52" s="23" t="s">
        <v>196</v>
      </c>
      <c r="H52" s="23" t="s">
        <v>140</v>
      </c>
      <c r="I52" s="17">
        <v>45940.0</v>
      </c>
      <c r="J52" s="17">
        <v>45972.0</v>
      </c>
      <c r="K52" s="17">
        <v>45972.0</v>
      </c>
      <c r="L52" s="9">
        <f t="shared" si="1"/>
        <v>0</v>
      </c>
      <c r="M52" s="9">
        <f t="shared" si="2"/>
        <v>307</v>
      </c>
      <c r="N52" s="23">
        <v>7.0</v>
      </c>
      <c r="O52" s="9" t="s">
        <v>116</v>
      </c>
      <c r="P52" s="23" t="s">
        <v>117</v>
      </c>
      <c r="Q52" s="23"/>
      <c r="R52" s="23" t="s">
        <v>105</v>
      </c>
      <c r="S52" s="23"/>
    </row>
    <row r="53" ht="12.75" customHeight="1">
      <c r="A53" s="9" t="s">
        <v>29</v>
      </c>
      <c r="B53" s="9" t="s">
        <v>50</v>
      </c>
      <c r="C53" s="23" t="s">
        <v>189</v>
      </c>
      <c r="D53" s="23" t="s">
        <v>135</v>
      </c>
      <c r="E53" s="9" t="s">
        <v>135</v>
      </c>
      <c r="F53" s="23" t="s">
        <v>203</v>
      </c>
      <c r="G53" s="23" t="s">
        <v>204</v>
      </c>
      <c r="H53" s="23" t="s">
        <v>210</v>
      </c>
      <c r="I53" s="17">
        <v>45974.0</v>
      </c>
      <c r="J53" s="17">
        <v>45975.0</v>
      </c>
      <c r="K53" s="17">
        <v>45975.0</v>
      </c>
      <c r="L53" s="9">
        <f t="shared" si="1"/>
        <v>0</v>
      </c>
      <c r="M53" s="9">
        <f t="shared" si="2"/>
        <v>304</v>
      </c>
      <c r="N53" s="23">
        <v>2.0</v>
      </c>
      <c r="O53" s="9" t="s">
        <v>116</v>
      </c>
      <c r="P53" s="23" t="s">
        <v>211</v>
      </c>
      <c r="Q53" s="23"/>
      <c r="R53" s="23" t="s">
        <v>105</v>
      </c>
      <c r="S53" s="23"/>
    </row>
    <row r="54" ht="12.75" customHeight="1">
      <c r="A54" s="9" t="s">
        <v>29</v>
      </c>
      <c r="B54" s="9" t="s">
        <v>86</v>
      </c>
      <c r="C54" s="23" t="s">
        <v>189</v>
      </c>
      <c r="D54" s="23" t="s">
        <v>135</v>
      </c>
      <c r="E54" s="9" t="s">
        <v>135</v>
      </c>
      <c r="F54" s="23" t="s">
        <v>201</v>
      </c>
      <c r="G54" s="23" t="s">
        <v>202</v>
      </c>
      <c r="H54" s="23" t="s">
        <v>140</v>
      </c>
      <c r="I54" s="17">
        <v>45976.0</v>
      </c>
      <c r="J54" s="17">
        <v>45976.0</v>
      </c>
      <c r="K54" s="26">
        <v>45981.0</v>
      </c>
      <c r="L54" s="9">
        <f t="shared" si="1"/>
        <v>5</v>
      </c>
      <c r="M54" s="9">
        <f t="shared" si="2"/>
        <v>303</v>
      </c>
      <c r="N54" s="23">
        <v>7.0</v>
      </c>
      <c r="O54" s="23" t="s">
        <v>220</v>
      </c>
      <c r="P54" s="23" t="s">
        <v>117</v>
      </c>
      <c r="Q54" s="23"/>
      <c r="R54" s="23" t="s">
        <v>105</v>
      </c>
      <c r="S54" s="23"/>
    </row>
    <row r="55" ht="12.75" customHeight="1">
      <c r="A55" s="9" t="s">
        <v>29</v>
      </c>
      <c r="B55" s="9" t="s">
        <v>221</v>
      </c>
      <c r="C55" s="23" t="s">
        <v>222</v>
      </c>
      <c r="D55" s="23" t="s">
        <v>57</v>
      </c>
      <c r="E55" s="9" t="s">
        <v>57</v>
      </c>
      <c r="F55" s="23">
        <v>4138.0</v>
      </c>
      <c r="G55" s="23" t="s">
        <v>223</v>
      </c>
      <c r="H55" s="23" t="s">
        <v>149</v>
      </c>
      <c r="I55" s="26">
        <v>46009.0</v>
      </c>
      <c r="J55" s="26">
        <v>46011.0</v>
      </c>
      <c r="K55" s="26">
        <v>46028.0</v>
      </c>
      <c r="L55" s="9">
        <f t="shared" si="1"/>
        <v>17</v>
      </c>
      <c r="M55" s="9">
        <f t="shared" si="2"/>
        <v>268</v>
      </c>
      <c r="N55" s="23">
        <v>7.0</v>
      </c>
      <c r="O55" s="23" t="s">
        <v>224</v>
      </c>
      <c r="P55" s="23" t="s">
        <v>99</v>
      </c>
      <c r="Q55" s="23"/>
      <c r="R55" s="23" t="s">
        <v>105</v>
      </c>
      <c r="S55" s="23"/>
    </row>
    <row r="56" ht="12.75" customHeight="1">
      <c r="A56" s="9" t="s">
        <v>29</v>
      </c>
      <c r="B56" s="9" t="s">
        <v>221</v>
      </c>
      <c r="C56" s="23" t="s">
        <v>222</v>
      </c>
      <c r="D56" s="23" t="s">
        <v>57</v>
      </c>
      <c r="E56" s="9" t="s">
        <v>57</v>
      </c>
      <c r="F56" s="23">
        <v>4138.0</v>
      </c>
      <c r="G56" s="23" t="s">
        <v>223</v>
      </c>
      <c r="H56" s="23" t="s">
        <v>158</v>
      </c>
      <c r="I56" s="26">
        <v>46009.0</v>
      </c>
      <c r="J56" s="26">
        <v>46011.0</v>
      </c>
      <c r="K56" s="26">
        <v>46028.0</v>
      </c>
      <c r="L56" s="9">
        <f t="shared" si="1"/>
        <v>17</v>
      </c>
      <c r="M56" s="9">
        <f t="shared" si="2"/>
        <v>268</v>
      </c>
      <c r="N56" s="23">
        <v>7.0</v>
      </c>
      <c r="O56" s="23" t="s">
        <v>224</v>
      </c>
      <c r="P56" s="23" t="s">
        <v>117</v>
      </c>
      <c r="Q56" s="23" t="s">
        <v>225</v>
      </c>
      <c r="R56" s="23" t="s">
        <v>105</v>
      </c>
      <c r="S56" s="23"/>
    </row>
    <row r="57" ht="12.75" customHeight="1">
      <c r="A57" s="9" t="s">
        <v>29</v>
      </c>
      <c r="B57" s="9" t="s">
        <v>50</v>
      </c>
      <c r="C57" s="23" t="s">
        <v>222</v>
      </c>
      <c r="D57" s="23" t="s">
        <v>57</v>
      </c>
      <c r="E57" s="9" t="s">
        <v>57</v>
      </c>
      <c r="F57" s="23" t="s">
        <v>226</v>
      </c>
      <c r="G57" s="23" t="s">
        <v>227</v>
      </c>
      <c r="H57" s="23" t="s">
        <v>149</v>
      </c>
      <c r="I57" s="26">
        <v>46009.0</v>
      </c>
      <c r="J57" s="26">
        <v>46011.0</v>
      </c>
      <c r="K57" s="26">
        <v>46016.0</v>
      </c>
      <c r="L57" s="9">
        <f t="shared" si="1"/>
        <v>5</v>
      </c>
      <c r="M57" s="9">
        <f t="shared" si="2"/>
        <v>268</v>
      </c>
      <c r="N57" s="23">
        <v>7.0</v>
      </c>
      <c r="O57" s="23" t="s">
        <v>116</v>
      </c>
      <c r="P57" s="23" t="s">
        <v>99</v>
      </c>
      <c r="Q57" s="23"/>
      <c r="R57" s="23" t="s">
        <v>105</v>
      </c>
      <c r="S57" s="23"/>
    </row>
    <row r="58" ht="12.75" customHeight="1">
      <c r="A58" s="9" t="s">
        <v>29</v>
      </c>
      <c r="B58" s="9" t="s">
        <v>50</v>
      </c>
      <c r="C58" s="23" t="s">
        <v>222</v>
      </c>
      <c r="D58" s="23" t="s">
        <v>57</v>
      </c>
      <c r="E58" s="9" t="s">
        <v>57</v>
      </c>
      <c r="F58" s="23" t="s">
        <v>226</v>
      </c>
      <c r="G58" s="23" t="s">
        <v>227</v>
      </c>
      <c r="H58" s="23" t="s">
        <v>158</v>
      </c>
      <c r="I58" s="26">
        <v>46009.0</v>
      </c>
      <c r="J58" s="26">
        <v>46011.0</v>
      </c>
      <c r="K58" s="26">
        <v>46016.0</v>
      </c>
      <c r="L58" s="9">
        <f t="shared" si="1"/>
        <v>5</v>
      </c>
      <c r="M58" s="9">
        <f t="shared" si="2"/>
        <v>268</v>
      </c>
      <c r="N58" s="23">
        <v>7.0</v>
      </c>
      <c r="O58" s="23" t="s">
        <v>116</v>
      </c>
      <c r="P58" s="23" t="s">
        <v>228</v>
      </c>
      <c r="Q58" s="23"/>
      <c r="R58" s="23" t="s">
        <v>105</v>
      </c>
      <c r="S58" s="23"/>
    </row>
    <row r="59" ht="12.75" customHeight="1">
      <c r="A59" s="9" t="s">
        <v>29</v>
      </c>
      <c r="B59" s="9" t="s">
        <v>50</v>
      </c>
      <c r="C59" s="23" t="s">
        <v>189</v>
      </c>
      <c r="D59" s="23" t="s">
        <v>135</v>
      </c>
      <c r="E59" s="9" t="s">
        <v>135</v>
      </c>
      <c r="F59" s="23" t="s">
        <v>205</v>
      </c>
      <c r="G59" s="23" t="s">
        <v>206</v>
      </c>
      <c r="H59" s="23" t="s">
        <v>210</v>
      </c>
      <c r="I59" s="17">
        <v>45979.0</v>
      </c>
      <c r="J59" s="17">
        <v>45979.0</v>
      </c>
      <c r="K59" s="17">
        <v>45980.0</v>
      </c>
      <c r="L59" s="9">
        <f t="shared" si="1"/>
        <v>1</v>
      </c>
      <c r="M59" s="9">
        <f t="shared" si="2"/>
        <v>300</v>
      </c>
      <c r="N59" s="23">
        <v>7.0</v>
      </c>
      <c r="O59" s="9" t="s">
        <v>116</v>
      </c>
      <c r="P59" s="23" t="s">
        <v>211</v>
      </c>
      <c r="Q59" s="23"/>
      <c r="R59" s="23" t="s">
        <v>105</v>
      </c>
      <c r="S59" s="23"/>
    </row>
    <row r="60" ht="12.75" customHeight="1">
      <c r="A60" s="9" t="s">
        <v>29</v>
      </c>
      <c r="B60" s="9" t="s">
        <v>215</v>
      </c>
      <c r="C60" s="23" t="s">
        <v>146</v>
      </c>
      <c r="D60" s="23" t="s">
        <v>54</v>
      </c>
      <c r="E60" s="9" t="s">
        <v>57</v>
      </c>
      <c r="F60" s="23" t="s">
        <v>216</v>
      </c>
      <c r="G60" s="23" t="s">
        <v>217</v>
      </c>
      <c r="H60" s="9" t="s">
        <v>156</v>
      </c>
      <c r="I60" s="26">
        <v>45986.0</v>
      </c>
      <c r="J60" s="26">
        <v>45990.0</v>
      </c>
      <c r="K60" s="26">
        <v>45991.0</v>
      </c>
      <c r="L60" s="9">
        <f t="shared" si="1"/>
        <v>1</v>
      </c>
      <c r="M60" s="9">
        <f t="shared" si="2"/>
        <v>289</v>
      </c>
      <c r="N60" s="23">
        <v>2.0</v>
      </c>
      <c r="O60" s="9" t="s">
        <v>116</v>
      </c>
      <c r="P60" s="23" t="s">
        <v>211</v>
      </c>
      <c r="Q60" s="23"/>
      <c r="R60" s="23" t="s">
        <v>105</v>
      </c>
      <c r="S60" s="23"/>
    </row>
    <row r="61" ht="12.75" customHeight="1">
      <c r="A61" s="9" t="s">
        <v>29</v>
      </c>
      <c r="B61" s="9" t="s">
        <v>50</v>
      </c>
      <c r="C61" s="9" t="s">
        <v>111</v>
      </c>
      <c r="D61" s="9" t="s">
        <v>112</v>
      </c>
      <c r="E61" s="9" t="s">
        <v>135</v>
      </c>
      <c r="F61" s="9" t="s">
        <v>136</v>
      </c>
      <c r="G61" s="9" t="s">
        <v>137</v>
      </c>
      <c r="H61" s="23" t="s">
        <v>210</v>
      </c>
      <c r="I61" s="26">
        <v>46010.0</v>
      </c>
      <c r="J61" s="26">
        <v>46010.0</v>
      </c>
      <c r="K61" s="26">
        <v>46010.0</v>
      </c>
      <c r="L61" s="9">
        <f t="shared" si="1"/>
        <v>0</v>
      </c>
      <c r="M61" s="9">
        <f t="shared" si="2"/>
        <v>269</v>
      </c>
      <c r="N61" s="23">
        <v>2.0</v>
      </c>
      <c r="O61" s="9" t="s">
        <v>116</v>
      </c>
      <c r="P61" s="23" t="s">
        <v>211</v>
      </c>
      <c r="Q61" s="23"/>
      <c r="R61" s="23" t="s">
        <v>105</v>
      </c>
      <c r="S61" s="23"/>
    </row>
    <row r="62" ht="12.75" customHeight="1">
      <c r="A62" s="9" t="s">
        <v>29</v>
      </c>
      <c r="B62" s="9" t="s">
        <v>86</v>
      </c>
      <c r="C62" s="9" t="s">
        <v>189</v>
      </c>
      <c r="D62" s="9" t="s">
        <v>135</v>
      </c>
      <c r="E62" s="9" t="s">
        <v>135</v>
      </c>
      <c r="F62" s="9" t="s">
        <v>195</v>
      </c>
      <c r="G62" s="9" t="s">
        <v>196</v>
      </c>
      <c r="H62" s="23" t="s">
        <v>210</v>
      </c>
      <c r="I62" s="26">
        <v>46010.0</v>
      </c>
      <c r="J62" s="26">
        <v>46010.0</v>
      </c>
      <c r="K62" s="26">
        <v>46010.0</v>
      </c>
      <c r="L62" s="9">
        <f t="shared" si="1"/>
        <v>0</v>
      </c>
      <c r="M62" s="9">
        <f t="shared" si="2"/>
        <v>269</v>
      </c>
      <c r="N62" s="23">
        <v>2.0</v>
      </c>
      <c r="O62" s="9" t="s">
        <v>116</v>
      </c>
      <c r="P62" s="23" t="s">
        <v>211</v>
      </c>
      <c r="Q62" s="23"/>
      <c r="R62" s="23" t="s">
        <v>105</v>
      </c>
      <c r="S62" s="23"/>
    </row>
    <row r="63" ht="12.75" customHeight="1">
      <c r="A63" s="9" t="s">
        <v>29</v>
      </c>
      <c r="B63" s="9" t="s">
        <v>50</v>
      </c>
      <c r="C63" s="9" t="s">
        <v>222</v>
      </c>
      <c r="D63" s="9" t="s">
        <v>135</v>
      </c>
      <c r="E63" s="9" t="s">
        <v>135</v>
      </c>
      <c r="F63" s="9" t="s">
        <v>229</v>
      </c>
      <c r="G63" s="9" t="s">
        <v>230</v>
      </c>
      <c r="H63" s="23" t="s">
        <v>140</v>
      </c>
      <c r="I63" s="26">
        <v>46035.0</v>
      </c>
      <c r="J63" s="26">
        <v>46042.0</v>
      </c>
      <c r="K63" s="26">
        <v>46098.0</v>
      </c>
      <c r="L63" s="9">
        <f t="shared" si="1"/>
        <v>56</v>
      </c>
      <c r="M63" s="9">
        <f t="shared" si="2"/>
        <v>237</v>
      </c>
      <c r="N63" s="23">
        <v>7.0</v>
      </c>
      <c r="O63" s="23" t="s">
        <v>231</v>
      </c>
      <c r="P63" s="23" t="s">
        <v>117</v>
      </c>
      <c r="Q63" s="23"/>
      <c r="R63" s="23" t="s">
        <v>105</v>
      </c>
      <c r="S63" s="23"/>
    </row>
    <row r="64" ht="12.75" customHeight="1">
      <c r="A64" s="9" t="s">
        <v>29</v>
      </c>
      <c r="B64" s="9" t="s">
        <v>50</v>
      </c>
      <c r="C64" s="9" t="s">
        <v>222</v>
      </c>
      <c r="D64" s="9" t="s">
        <v>135</v>
      </c>
      <c r="E64" s="9" t="s">
        <v>135</v>
      </c>
      <c r="F64" s="9" t="s">
        <v>232</v>
      </c>
      <c r="G64" s="9" t="s">
        <v>233</v>
      </c>
      <c r="H64" s="23" t="s">
        <v>174</v>
      </c>
      <c r="I64" s="26">
        <v>46035.0</v>
      </c>
      <c r="J64" s="26">
        <v>46042.0</v>
      </c>
      <c r="K64" s="26">
        <v>46094.0</v>
      </c>
      <c r="L64" s="9">
        <f t="shared" si="1"/>
        <v>52</v>
      </c>
      <c r="M64" s="9">
        <f t="shared" si="2"/>
        <v>237</v>
      </c>
      <c r="N64" s="23">
        <v>7.0</v>
      </c>
      <c r="O64" s="23" t="s">
        <v>231</v>
      </c>
      <c r="P64" s="23" t="s">
        <v>99</v>
      </c>
      <c r="Q64" s="23" t="s">
        <v>234</v>
      </c>
      <c r="R64" s="23" t="s">
        <v>105</v>
      </c>
      <c r="S64" s="23"/>
    </row>
    <row r="65" ht="12.75" customHeight="1">
      <c r="A65" s="9" t="s">
        <v>29</v>
      </c>
      <c r="B65" s="9" t="s">
        <v>50</v>
      </c>
      <c r="C65" s="9" t="s">
        <v>222</v>
      </c>
      <c r="D65" s="9" t="s">
        <v>135</v>
      </c>
      <c r="E65" s="9" t="s">
        <v>135</v>
      </c>
      <c r="F65" s="9" t="s">
        <v>235</v>
      </c>
      <c r="G65" s="9" t="s">
        <v>236</v>
      </c>
      <c r="H65" s="23" t="s">
        <v>140</v>
      </c>
      <c r="I65" s="26">
        <v>46035.0</v>
      </c>
      <c r="J65" s="26">
        <v>46042.0</v>
      </c>
      <c r="K65" s="26">
        <v>46098.0</v>
      </c>
      <c r="L65" s="9">
        <f t="shared" si="1"/>
        <v>56</v>
      </c>
      <c r="M65" s="9">
        <f t="shared" si="2"/>
        <v>237</v>
      </c>
      <c r="N65" s="23">
        <v>7.0</v>
      </c>
      <c r="O65" s="23" t="s">
        <v>231</v>
      </c>
      <c r="P65" s="23" t="s">
        <v>117</v>
      </c>
      <c r="Q65" s="23"/>
      <c r="R65" s="23" t="s">
        <v>105</v>
      </c>
      <c r="S65" s="23"/>
    </row>
    <row r="66" ht="12.75" customHeight="1">
      <c r="A66" s="9" t="s">
        <v>29</v>
      </c>
      <c r="B66" s="23" t="s">
        <v>221</v>
      </c>
      <c r="C66" s="9" t="s">
        <v>222</v>
      </c>
      <c r="D66" s="9" t="s">
        <v>135</v>
      </c>
      <c r="E66" s="9" t="s">
        <v>135</v>
      </c>
      <c r="F66" s="23" t="s">
        <v>237</v>
      </c>
      <c r="G66" s="23" t="s">
        <v>238</v>
      </c>
      <c r="H66" s="23" t="s">
        <v>140</v>
      </c>
      <c r="I66" s="26">
        <v>46035.0</v>
      </c>
      <c r="J66" s="26">
        <v>46042.0</v>
      </c>
      <c r="K66" s="26">
        <v>46106.0</v>
      </c>
      <c r="L66" s="9">
        <f t="shared" si="1"/>
        <v>64</v>
      </c>
      <c r="M66" s="9">
        <f t="shared" si="2"/>
        <v>237</v>
      </c>
      <c r="N66" s="23">
        <v>7.0</v>
      </c>
      <c r="O66" s="23" t="s">
        <v>231</v>
      </c>
      <c r="P66" s="23" t="s">
        <v>117</v>
      </c>
      <c r="Q66" s="23"/>
      <c r="R66" s="23" t="s">
        <v>105</v>
      </c>
      <c r="S66" s="23"/>
    </row>
    <row r="67" ht="12.75" customHeight="1">
      <c r="A67" s="9" t="s">
        <v>29</v>
      </c>
      <c r="B67" s="23" t="s">
        <v>221</v>
      </c>
      <c r="C67" s="9" t="s">
        <v>222</v>
      </c>
      <c r="D67" s="9" t="s">
        <v>135</v>
      </c>
      <c r="E67" s="9" t="s">
        <v>135</v>
      </c>
      <c r="F67" s="23" t="s">
        <v>239</v>
      </c>
      <c r="G67" s="23" t="s">
        <v>144</v>
      </c>
      <c r="H67" s="23" t="s">
        <v>140</v>
      </c>
      <c r="I67" s="26">
        <v>46035.0</v>
      </c>
      <c r="J67" s="26">
        <v>46042.0</v>
      </c>
      <c r="K67" s="26">
        <v>46106.0</v>
      </c>
      <c r="L67" s="9">
        <f t="shared" si="1"/>
        <v>64</v>
      </c>
      <c r="M67" s="9">
        <f t="shared" si="2"/>
        <v>237</v>
      </c>
      <c r="N67" s="23">
        <v>7.0</v>
      </c>
      <c r="O67" s="23" t="s">
        <v>231</v>
      </c>
      <c r="P67" s="23" t="s">
        <v>117</v>
      </c>
      <c r="Q67" s="23"/>
      <c r="R67" s="23" t="s">
        <v>105</v>
      </c>
      <c r="S67" s="23"/>
    </row>
    <row r="68" ht="12.75" customHeight="1">
      <c r="A68" s="9" t="s">
        <v>29</v>
      </c>
      <c r="B68" s="23" t="s">
        <v>221</v>
      </c>
      <c r="C68" s="9" t="s">
        <v>222</v>
      </c>
      <c r="D68" s="9" t="s">
        <v>135</v>
      </c>
      <c r="E68" s="9" t="s">
        <v>135</v>
      </c>
      <c r="F68" s="23" t="s">
        <v>240</v>
      </c>
      <c r="G68" s="23" t="s">
        <v>241</v>
      </c>
      <c r="H68" s="23" t="s">
        <v>140</v>
      </c>
      <c r="I68" s="26">
        <v>46035.0</v>
      </c>
      <c r="J68" s="26">
        <v>46042.0</v>
      </c>
      <c r="K68" s="26">
        <v>46106.0</v>
      </c>
      <c r="L68" s="9">
        <f t="shared" si="1"/>
        <v>64</v>
      </c>
      <c r="M68" s="9">
        <f t="shared" si="2"/>
        <v>237</v>
      </c>
      <c r="N68" s="23">
        <v>7.0</v>
      </c>
      <c r="O68" s="23" t="s">
        <v>231</v>
      </c>
      <c r="P68" s="23" t="s">
        <v>117</v>
      </c>
      <c r="Q68" s="23"/>
      <c r="R68" s="23" t="s">
        <v>105</v>
      </c>
      <c r="S68" s="23"/>
    </row>
    <row r="69" ht="12.75" customHeight="1">
      <c r="A69" s="9" t="s">
        <v>29</v>
      </c>
      <c r="B69" s="23" t="s">
        <v>221</v>
      </c>
      <c r="C69" s="9" t="s">
        <v>222</v>
      </c>
      <c r="D69" s="9" t="s">
        <v>135</v>
      </c>
      <c r="E69" s="9" t="s">
        <v>135</v>
      </c>
      <c r="F69" s="23" t="s">
        <v>242</v>
      </c>
      <c r="G69" s="23" t="s">
        <v>236</v>
      </c>
      <c r="H69" s="23" t="s">
        <v>140</v>
      </c>
      <c r="I69" s="26">
        <v>46035.0</v>
      </c>
      <c r="J69" s="26">
        <v>46042.0</v>
      </c>
      <c r="K69" s="26">
        <v>46106.0</v>
      </c>
      <c r="L69" s="9">
        <f t="shared" si="1"/>
        <v>64</v>
      </c>
      <c r="M69" s="9">
        <f t="shared" si="2"/>
        <v>237</v>
      </c>
      <c r="N69" s="23">
        <v>7.0</v>
      </c>
      <c r="O69" s="23" t="s">
        <v>231</v>
      </c>
      <c r="P69" s="23" t="s">
        <v>117</v>
      </c>
      <c r="Q69" s="23"/>
      <c r="R69" s="23" t="s">
        <v>105</v>
      </c>
      <c r="S69" s="23"/>
    </row>
    <row r="70" ht="12.75" customHeight="1">
      <c r="A70" s="9" t="s">
        <v>29</v>
      </c>
      <c r="B70" s="23" t="s">
        <v>221</v>
      </c>
      <c r="C70" s="9" t="s">
        <v>222</v>
      </c>
      <c r="D70" s="9" t="s">
        <v>135</v>
      </c>
      <c r="E70" s="9" t="s">
        <v>135</v>
      </c>
      <c r="F70" s="23" t="s">
        <v>243</v>
      </c>
      <c r="G70" s="23" t="s">
        <v>244</v>
      </c>
      <c r="H70" s="23" t="s">
        <v>140</v>
      </c>
      <c r="I70" s="26">
        <v>46035.0</v>
      </c>
      <c r="J70" s="26">
        <v>46042.0</v>
      </c>
      <c r="K70" s="26"/>
      <c r="L70" s="9">
        <f t="shared" si="1"/>
        <v>-46042</v>
      </c>
      <c r="M70" s="9">
        <f t="shared" si="2"/>
        <v>237</v>
      </c>
      <c r="N70" s="23">
        <v>7.0</v>
      </c>
      <c r="O70" s="23" t="s">
        <v>231</v>
      </c>
      <c r="P70" s="23" t="s">
        <v>245</v>
      </c>
      <c r="Q70" s="23"/>
      <c r="R70" s="23" t="s">
        <v>105</v>
      </c>
      <c r="S70" s="23"/>
    </row>
    <row r="71" ht="12.75" customHeight="1">
      <c r="A71" s="9" t="s">
        <v>29</v>
      </c>
      <c r="B71" s="23" t="s">
        <v>50</v>
      </c>
      <c r="C71" s="9" t="s">
        <v>246</v>
      </c>
      <c r="D71" s="9" t="s">
        <v>57</v>
      </c>
      <c r="E71" s="9" t="s">
        <v>57</v>
      </c>
      <c r="F71" s="23" t="s">
        <v>113</v>
      </c>
      <c r="G71" s="23" t="s">
        <v>114</v>
      </c>
      <c r="H71" s="23" t="s">
        <v>247</v>
      </c>
      <c r="I71" s="26">
        <v>46059.0</v>
      </c>
      <c r="J71" s="26">
        <v>46060.0</v>
      </c>
      <c r="K71" s="26">
        <v>46066.0</v>
      </c>
      <c r="L71" s="9">
        <f t="shared" si="1"/>
        <v>6</v>
      </c>
      <c r="M71" s="9">
        <f t="shared" si="2"/>
        <v>219</v>
      </c>
      <c r="N71" s="23">
        <v>7.0</v>
      </c>
      <c r="O71" s="9"/>
      <c r="P71" s="23" t="s">
        <v>166</v>
      </c>
      <c r="Q71" s="23" t="s">
        <v>248</v>
      </c>
      <c r="R71" s="23" t="s">
        <v>105</v>
      </c>
      <c r="S71" s="23"/>
    </row>
    <row r="72" ht="12.75" customHeight="1">
      <c r="A72" s="9" t="s">
        <v>29</v>
      </c>
      <c r="B72" s="23" t="s">
        <v>50</v>
      </c>
      <c r="C72" s="9" t="s">
        <v>246</v>
      </c>
      <c r="D72" s="9" t="s">
        <v>57</v>
      </c>
      <c r="E72" s="9" t="s">
        <v>57</v>
      </c>
      <c r="F72" s="23" t="s">
        <v>249</v>
      </c>
      <c r="G72" s="23" t="s">
        <v>250</v>
      </c>
      <c r="H72" s="23" t="s">
        <v>247</v>
      </c>
      <c r="I72" s="26">
        <v>46061.0</v>
      </c>
      <c r="J72" s="26">
        <v>46061.0</v>
      </c>
      <c r="K72" s="26">
        <v>46076.0</v>
      </c>
      <c r="L72" s="9">
        <f t="shared" si="1"/>
        <v>15</v>
      </c>
      <c r="M72" s="9">
        <f t="shared" si="2"/>
        <v>218</v>
      </c>
      <c r="N72" s="23">
        <v>7.0</v>
      </c>
      <c r="O72" s="9"/>
      <c r="P72" s="23" t="s">
        <v>166</v>
      </c>
      <c r="Q72" s="23" t="s">
        <v>248</v>
      </c>
      <c r="R72" s="23" t="s">
        <v>105</v>
      </c>
      <c r="S72" s="23"/>
    </row>
    <row r="73" ht="12.75" customHeight="1">
      <c r="A73" s="9" t="s">
        <v>29</v>
      </c>
      <c r="B73" s="23" t="s">
        <v>50</v>
      </c>
      <c r="C73" s="9" t="s">
        <v>246</v>
      </c>
      <c r="D73" s="23" t="s">
        <v>54</v>
      </c>
      <c r="E73" s="9" t="s">
        <v>57</v>
      </c>
      <c r="F73" s="23" t="s">
        <v>249</v>
      </c>
      <c r="G73" s="23" t="s">
        <v>250</v>
      </c>
      <c r="H73" s="23" t="s">
        <v>164</v>
      </c>
      <c r="I73" s="26">
        <v>46061.0</v>
      </c>
      <c r="J73" s="26">
        <v>46061.0</v>
      </c>
      <c r="K73" s="26">
        <v>46076.0</v>
      </c>
      <c r="L73" s="9">
        <f t="shared" si="1"/>
        <v>15</v>
      </c>
      <c r="M73" s="9">
        <f t="shared" si="2"/>
        <v>218</v>
      </c>
      <c r="N73" s="23">
        <v>7.0</v>
      </c>
      <c r="O73" s="9"/>
      <c r="P73" s="23" t="s">
        <v>166</v>
      </c>
      <c r="Q73" s="23" t="s">
        <v>248</v>
      </c>
      <c r="R73" s="23" t="s">
        <v>105</v>
      </c>
      <c r="S73" s="23"/>
    </row>
    <row r="74" ht="12.75" customHeight="1">
      <c r="A74" s="9" t="s">
        <v>29</v>
      </c>
      <c r="B74" s="23" t="s">
        <v>50</v>
      </c>
      <c r="C74" s="9" t="s">
        <v>251</v>
      </c>
      <c r="D74" s="9" t="s">
        <v>135</v>
      </c>
      <c r="E74" s="9" t="s">
        <v>135</v>
      </c>
      <c r="F74" s="23" t="s">
        <v>203</v>
      </c>
      <c r="G74" s="23" t="s">
        <v>204</v>
      </c>
      <c r="H74" s="23" t="s">
        <v>252</v>
      </c>
      <c r="I74" s="26">
        <v>46090.0</v>
      </c>
      <c r="J74" s="26">
        <v>46090.0</v>
      </c>
      <c r="K74" s="26">
        <v>46127.0</v>
      </c>
      <c r="L74" s="9">
        <f t="shared" si="1"/>
        <v>37</v>
      </c>
      <c r="M74" s="9">
        <f t="shared" si="2"/>
        <v>189</v>
      </c>
      <c r="N74" s="23">
        <v>7.0</v>
      </c>
      <c r="O74" s="9"/>
      <c r="P74" s="23" t="s">
        <v>166</v>
      </c>
      <c r="Q74" s="23"/>
      <c r="R74" s="23" t="s">
        <v>105</v>
      </c>
      <c r="S74" s="23"/>
    </row>
    <row r="75" ht="12.75" customHeight="1">
      <c r="A75" s="9" t="s">
        <v>29</v>
      </c>
      <c r="B75" s="23" t="s">
        <v>50</v>
      </c>
      <c r="C75" s="9" t="s">
        <v>251</v>
      </c>
      <c r="D75" s="9" t="s">
        <v>135</v>
      </c>
      <c r="E75" s="9" t="s">
        <v>135</v>
      </c>
      <c r="F75" s="23" t="s">
        <v>205</v>
      </c>
      <c r="G75" s="23" t="s">
        <v>206</v>
      </c>
      <c r="H75" s="23" t="s">
        <v>252</v>
      </c>
      <c r="I75" s="26">
        <v>46090.0</v>
      </c>
      <c r="J75" s="26">
        <v>46090.0</v>
      </c>
      <c r="K75" s="26">
        <v>46127.0</v>
      </c>
      <c r="L75" s="9">
        <f t="shared" si="1"/>
        <v>37</v>
      </c>
      <c r="M75" s="9">
        <f t="shared" si="2"/>
        <v>189</v>
      </c>
      <c r="N75" s="23">
        <v>7.0</v>
      </c>
      <c r="O75" s="9"/>
      <c r="P75" s="23" t="s">
        <v>166</v>
      </c>
      <c r="Q75" s="23"/>
      <c r="R75" s="23" t="s">
        <v>105</v>
      </c>
      <c r="S75" s="23"/>
    </row>
    <row r="76" ht="12.75" customHeight="1">
      <c r="A76" s="9" t="s">
        <v>29</v>
      </c>
      <c r="B76" s="23" t="s">
        <v>86</v>
      </c>
      <c r="C76" s="9" t="s">
        <v>251</v>
      </c>
      <c r="D76" s="9" t="s">
        <v>135</v>
      </c>
      <c r="E76" s="9" t="s">
        <v>135</v>
      </c>
      <c r="F76" s="23" t="s">
        <v>190</v>
      </c>
      <c r="G76" s="23" t="s">
        <v>191</v>
      </c>
      <c r="H76" s="23" t="s">
        <v>252</v>
      </c>
      <c r="I76" s="26">
        <v>46090.0</v>
      </c>
      <c r="J76" s="26">
        <v>46090.0</v>
      </c>
      <c r="K76" s="26"/>
      <c r="L76" s="9"/>
      <c r="M76" s="9">
        <f t="shared" si="2"/>
        <v>189</v>
      </c>
      <c r="N76" s="23">
        <v>7.0</v>
      </c>
      <c r="O76" s="9"/>
      <c r="P76" s="23" t="s">
        <v>253</v>
      </c>
      <c r="Q76" s="23"/>
      <c r="R76" s="23" t="s">
        <v>105</v>
      </c>
      <c r="S76" s="23"/>
    </row>
    <row r="77" ht="12.75" customHeight="1">
      <c r="A77" s="9" t="s">
        <v>29</v>
      </c>
      <c r="B77" s="23" t="s">
        <v>50</v>
      </c>
      <c r="C77" s="9" t="s">
        <v>254</v>
      </c>
      <c r="D77" s="9" t="s">
        <v>54</v>
      </c>
      <c r="E77" s="9" t="s">
        <v>54</v>
      </c>
      <c r="F77" s="23" t="s">
        <v>255</v>
      </c>
      <c r="G77" s="23" t="s">
        <v>256</v>
      </c>
      <c r="H77" s="23" t="s">
        <v>60</v>
      </c>
      <c r="I77" s="26">
        <v>46104.0</v>
      </c>
      <c r="J77" s="26">
        <v>46104.0</v>
      </c>
      <c r="K77" s="26">
        <v>46106.0</v>
      </c>
      <c r="L77" s="9">
        <f t="shared" ref="L77:L94" si="3">K77-J77</f>
        <v>2</v>
      </c>
      <c r="M77" s="9">
        <f t="shared" si="2"/>
        <v>175</v>
      </c>
      <c r="N77" s="23">
        <v>2.0</v>
      </c>
      <c r="O77" s="9"/>
      <c r="P77" s="23" t="s">
        <v>99</v>
      </c>
      <c r="Q77" s="23" t="s">
        <v>150</v>
      </c>
      <c r="R77" s="23" t="s">
        <v>105</v>
      </c>
      <c r="S77" s="23"/>
    </row>
    <row r="78" ht="12.75" customHeight="1">
      <c r="A78" s="9" t="s">
        <v>29</v>
      </c>
      <c r="B78" s="23" t="s">
        <v>50</v>
      </c>
      <c r="C78" s="9" t="s">
        <v>254</v>
      </c>
      <c r="D78" s="9" t="s">
        <v>54</v>
      </c>
      <c r="E78" s="9" t="s">
        <v>54</v>
      </c>
      <c r="F78" s="23" t="s">
        <v>255</v>
      </c>
      <c r="G78" s="23" t="s">
        <v>256</v>
      </c>
      <c r="H78" s="23" t="s">
        <v>129</v>
      </c>
      <c r="I78" s="26">
        <v>46112.0</v>
      </c>
      <c r="J78" s="26">
        <v>46145.0</v>
      </c>
      <c r="K78" s="26">
        <v>46148.0</v>
      </c>
      <c r="L78" s="9">
        <f t="shared" si="3"/>
        <v>3</v>
      </c>
      <c r="M78" s="9">
        <f t="shared" si="2"/>
        <v>134</v>
      </c>
      <c r="N78" s="23">
        <v>7.0</v>
      </c>
      <c r="O78" s="9"/>
      <c r="P78" s="23" t="s">
        <v>117</v>
      </c>
      <c r="Q78" s="23"/>
      <c r="R78" s="23" t="s">
        <v>105</v>
      </c>
      <c r="S78" s="23"/>
    </row>
    <row r="79" ht="12.75" customHeight="1">
      <c r="A79" s="9" t="s">
        <v>29</v>
      </c>
      <c r="B79" s="23" t="s">
        <v>50</v>
      </c>
      <c r="C79" s="23" t="s">
        <v>257</v>
      </c>
      <c r="D79" s="23" t="s">
        <v>258</v>
      </c>
      <c r="E79" s="9" t="s">
        <v>57</v>
      </c>
      <c r="F79" s="23" t="s">
        <v>259</v>
      </c>
      <c r="G79" s="23" t="s">
        <v>260</v>
      </c>
      <c r="H79" s="23" t="s">
        <v>261</v>
      </c>
      <c r="I79" s="26">
        <v>46113.0</v>
      </c>
      <c r="J79" s="26">
        <v>46113.0</v>
      </c>
      <c r="K79" s="26">
        <v>46114.0</v>
      </c>
      <c r="L79" s="9">
        <f t="shared" si="3"/>
        <v>1</v>
      </c>
      <c r="M79" s="9">
        <f t="shared" si="2"/>
        <v>166</v>
      </c>
      <c r="N79" s="23">
        <v>7.0</v>
      </c>
      <c r="O79" s="9"/>
      <c r="P79" s="23" t="s">
        <v>117</v>
      </c>
      <c r="Q79" s="23"/>
      <c r="R79" s="23" t="s">
        <v>105</v>
      </c>
      <c r="S79" s="23" t="s">
        <v>262</v>
      </c>
    </row>
    <row r="80" ht="12.75" customHeight="1">
      <c r="A80" s="9" t="s">
        <v>29</v>
      </c>
      <c r="B80" s="23" t="s">
        <v>50</v>
      </c>
      <c r="C80" s="23" t="s">
        <v>257</v>
      </c>
      <c r="D80" s="23" t="s">
        <v>258</v>
      </c>
      <c r="E80" s="9" t="s">
        <v>57</v>
      </c>
      <c r="F80" s="23" t="s">
        <v>259</v>
      </c>
      <c r="G80" s="23" t="s">
        <v>260</v>
      </c>
      <c r="H80" s="23" t="s">
        <v>263</v>
      </c>
      <c r="I80" s="26">
        <v>46113.0</v>
      </c>
      <c r="J80" s="26">
        <v>46114.0</v>
      </c>
      <c r="K80" s="26">
        <v>46117.0</v>
      </c>
      <c r="L80" s="9">
        <f t="shared" si="3"/>
        <v>3</v>
      </c>
      <c r="M80" s="9">
        <f t="shared" si="2"/>
        <v>165</v>
      </c>
      <c r="N80" s="23"/>
      <c r="O80" s="23" t="s">
        <v>264</v>
      </c>
      <c r="P80" s="23" t="s">
        <v>211</v>
      </c>
      <c r="Q80" s="23"/>
      <c r="R80" s="23" t="s">
        <v>105</v>
      </c>
      <c r="S80" s="23" t="s">
        <v>262</v>
      </c>
    </row>
    <row r="81" ht="12.75" customHeight="1">
      <c r="A81" s="9" t="s">
        <v>29</v>
      </c>
      <c r="B81" s="23" t="s">
        <v>50</v>
      </c>
      <c r="C81" s="23" t="s">
        <v>254</v>
      </c>
      <c r="D81" s="23" t="s">
        <v>54</v>
      </c>
      <c r="E81" s="9" t="s">
        <v>57</v>
      </c>
      <c r="F81" s="23" t="s">
        <v>255</v>
      </c>
      <c r="G81" s="23" t="s">
        <v>256</v>
      </c>
      <c r="H81" s="23" t="s">
        <v>265</v>
      </c>
      <c r="I81" s="26">
        <v>46151.0</v>
      </c>
      <c r="J81" s="26">
        <v>46151.0</v>
      </c>
      <c r="K81" s="26">
        <v>46152.0</v>
      </c>
      <c r="L81" s="9">
        <f t="shared" si="3"/>
        <v>1</v>
      </c>
      <c r="M81" s="9">
        <f t="shared" si="2"/>
        <v>128</v>
      </c>
      <c r="N81" s="23">
        <v>1.0</v>
      </c>
      <c r="O81" s="23" t="s">
        <v>264</v>
      </c>
      <c r="P81" s="23" t="s">
        <v>211</v>
      </c>
      <c r="Q81" s="23"/>
      <c r="R81" s="23" t="s">
        <v>105</v>
      </c>
      <c r="S81" s="23"/>
    </row>
    <row r="82" ht="12.75" customHeight="1">
      <c r="A82" s="9" t="s">
        <v>29</v>
      </c>
      <c r="B82" s="23" t="s">
        <v>215</v>
      </c>
      <c r="C82" s="23" t="s">
        <v>266</v>
      </c>
      <c r="D82" s="23" t="s">
        <v>57</v>
      </c>
      <c r="E82" s="9" t="s">
        <v>57</v>
      </c>
      <c r="F82" s="23" t="s">
        <v>267</v>
      </c>
      <c r="G82" s="23" t="s">
        <v>268</v>
      </c>
      <c r="H82" s="23" t="s">
        <v>269</v>
      </c>
      <c r="I82" s="26">
        <v>46149.0</v>
      </c>
      <c r="J82" s="26">
        <v>46149.0</v>
      </c>
      <c r="K82" s="26">
        <v>46156.0</v>
      </c>
      <c r="L82" s="9">
        <f t="shared" si="3"/>
        <v>7</v>
      </c>
      <c r="M82" s="9">
        <f t="shared" si="2"/>
        <v>130</v>
      </c>
      <c r="N82" s="23"/>
      <c r="O82" s="23" t="s">
        <v>264</v>
      </c>
      <c r="P82" s="23" t="s">
        <v>211</v>
      </c>
      <c r="Q82" s="23"/>
      <c r="R82" s="23" t="s">
        <v>105</v>
      </c>
      <c r="S82" s="23"/>
    </row>
    <row r="83" ht="12.75" customHeight="1">
      <c r="A83" s="9" t="s">
        <v>29</v>
      </c>
      <c r="B83" s="23" t="s">
        <v>50</v>
      </c>
      <c r="C83" s="23" t="s">
        <v>270</v>
      </c>
      <c r="D83" s="23" t="s">
        <v>54</v>
      </c>
      <c r="E83" s="9" t="s">
        <v>54</v>
      </c>
      <c r="F83" s="23" t="s">
        <v>271</v>
      </c>
      <c r="G83" s="23" t="s">
        <v>272</v>
      </c>
      <c r="H83" s="23" t="s">
        <v>60</v>
      </c>
      <c r="I83" s="26">
        <v>46177.0</v>
      </c>
      <c r="J83" s="26">
        <v>46178.0</v>
      </c>
      <c r="K83" s="26">
        <v>46192.0</v>
      </c>
      <c r="L83" s="9">
        <f t="shared" si="3"/>
        <v>14</v>
      </c>
      <c r="M83" s="9">
        <f t="shared" si="2"/>
        <v>101</v>
      </c>
      <c r="N83" s="23">
        <v>7.0</v>
      </c>
      <c r="O83" s="23"/>
      <c r="P83" s="23" t="s">
        <v>99</v>
      </c>
      <c r="Q83" s="23" t="s">
        <v>150</v>
      </c>
      <c r="R83" s="23" t="s">
        <v>105</v>
      </c>
      <c r="S83" s="23" t="s">
        <v>262</v>
      </c>
    </row>
    <row r="84" ht="12.75" customHeight="1">
      <c r="A84" s="9" t="s">
        <v>29</v>
      </c>
      <c r="B84" s="23" t="s">
        <v>50</v>
      </c>
      <c r="C84" s="23" t="s">
        <v>273</v>
      </c>
      <c r="D84" s="23" t="s">
        <v>274</v>
      </c>
      <c r="E84" s="9" t="s">
        <v>57</v>
      </c>
      <c r="F84" s="23" t="s">
        <v>275</v>
      </c>
      <c r="G84" s="23" t="s">
        <v>276</v>
      </c>
      <c r="H84" s="23" t="s">
        <v>60</v>
      </c>
      <c r="I84" s="26">
        <v>46177.0</v>
      </c>
      <c r="J84" s="26">
        <v>46178.0</v>
      </c>
      <c r="K84" s="26">
        <v>46186.0</v>
      </c>
      <c r="L84" s="9">
        <f t="shared" si="3"/>
        <v>8</v>
      </c>
      <c r="M84" s="9">
        <f t="shared" si="2"/>
        <v>101</v>
      </c>
      <c r="N84" s="23">
        <v>7.0</v>
      </c>
      <c r="O84" s="23"/>
      <c r="P84" s="23" t="s">
        <v>99</v>
      </c>
      <c r="Q84" s="23" t="s">
        <v>150</v>
      </c>
      <c r="R84" s="23" t="s">
        <v>105</v>
      </c>
      <c r="S84" s="23" t="s">
        <v>262</v>
      </c>
    </row>
    <row r="85" ht="12.75" customHeight="1">
      <c r="A85" s="9" t="s">
        <v>29</v>
      </c>
      <c r="B85" s="23" t="s">
        <v>50</v>
      </c>
      <c r="C85" s="23" t="s">
        <v>273</v>
      </c>
      <c r="D85" s="23" t="s">
        <v>274</v>
      </c>
      <c r="E85" s="9" t="s">
        <v>57</v>
      </c>
      <c r="F85" s="23" t="s">
        <v>275</v>
      </c>
      <c r="G85" s="23" t="s">
        <v>276</v>
      </c>
      <c r="H85" s="23" t="s">
        <v>149</v>
      </c>
      <c r="I85" s="26">
        <v>46177.0</v>
      </c>
      <c r="J85" s="26">
        <v>46178.0</v>
      </c>
      <c r="K85" s="26">
        <v>46186.0</v>
      </c>
      <c r="L85" s="9">
        <f t="shared" si="3"/>
        <v>8</v>
      </c>
      <c r="M85" s="9">
        <f t="shared" si="2"/>
        <v>101</v>
      </c>
      <c r="N85" s="23">
        <v>7.0</v>
      </c>
      <c r="O85" s="23"/>
      <c r="P85" s="23" t="s">
        <v>99</v>
      </c>
      <c r="Q85" s="23" t="s">
        <v>150</v>
      </c>
      <c r="R85" s="23" t="s">
        <v>105</v>
      </c>
      <c r="S85" s="23" t="s">
        <v>262</v>
      </c>
    </row>
    <row r="86" ht="12.75" customHeight="1">
      <c r="A86" s="9" t="s">
        <v>29</v>
      </c>
      <c r="B86" s="23" t="s">
        <v>50</v>
      </c>
      <c r="C86" s="23" t="s">
        <v>273</v>
      </c>
      <c r="D86" s="23" t="s">
        <v>274</v>
      </c>
      <c r="E86" s="9" t="s">
        <v>135</v>
      </c>
      <c r="F86" s="23">
        <v>3.33124874E9</v>
      </c>
      <c r="G86" s="23" t="s">
        <v>184</v>
      </c>
      <c r="H86" s="23" t="s">
        <v>174</v>
      </c>
      <c r="I86" s="26">
        <v>46177.0</v>
      </c>
      <c r="J86" s="26">
        <v>46178.0</v>
      </c>
      <c r="K86" s="26">
        <v>46191.0</v>
      </c>
      <c r="L86" s="9">
        <f t="shared" si="3"/>
        <v>13</v>
      </c>
      <c r="M86" s="9">
        <f t="shared" si="2"/>
        <v>101</v>
      </c>
      <c r="N86" s="23">
        <v>7.0</v>
      </c>
      <c r="O86" s="23"/>
      <c r="P86" s="23" t="s">
        <v>99</v>
      </c>
      <c r="Q86" s="23" t="s">
        <v>150</v>
      </c>
      <c r="R86" s="23" t="s">
        <v>105</v>
      </c>
      <c r="S86" s="23" t="s">
        <v>262</v>
      </c>
    </row>
    <row r="87" ht="12.75" customHeight="1">
      <c r="A87" s="9" t="s">
        <v>29</v>
      </c>
      <c r="B87" s="23" t="s">
        <v>50</v>
      </c>
      <c r="C87" s="23" t="s">
        <v>273</v>
      </c>
      <c r="D87" s="23" t="s">
        <v>274</v>
      </c>
      <c r="E87" s="9" t="s">
        <v>135</v>
      </c>
      <c r="F87" s="23" t="s">
        <v>277</v>
      </c>
      <c r="G87" s="23" t="s">
        <v>187</v>
      </c>
      <c r="H87" s="23" t="s">
        <v>174</v>
      </c>
      <c r="I87" s="26">
        <v>46177.0</v>
      </c>
      <c r="J87" s="26">
        <v>46178.0</v>
      </c>
      <c r="K87" s="26">
        <v>46191.0</v>
      </c>
      <c r="L87" s="9">
        <f t="shared" si="3"/>
        <v>13</v>
      </c>
      <c r="M87" s="9">
        <f t="shared" si="2"/>
        <v>101</v>
      </c>
      <c r="N87" s="23">
        <v>7.0</v>
      </c>
      <c r="O87" s="23"/>
      <c r="P87" s="23" t="s">
        <v>99</v>
      </c>
      <c r="Q87" s="23" t="s">
        <v>150</v>
      </c>
      <c r="R87" s="23" t="s">
        <v>105</v>
      </c>
      <c r="S87" s="23" t="s">
        <v>262</v>
      </c>
    </row>
    <row r="88" ht="12.75" customHeight="1">
      <c r="A88" s="9" t="s">
        <v>29</v>
      </c>
      <c r="B88" s="23" t="s">
        <v>50</v>
      </c>
      <c r="C88" s="23" t="s">
        <v>273</v>
      </c>
      <c r="D88" s="23" t="s">
        <v>274</v>
      </c>
      <c r="E88" s="9" t="s">
        <v>135</v>
      </c>
      <c r="F88" s="23" t="s">
        <v>278</v>
      </c>
      <c r="G88" s="23" t="s">
        <v>279</v>
      </c>
      <c r="H88" s="23" t="s">
        <v>174</v>
      </c>
      <c r="I88" s="26">
        <v>46177.0</v>
      </c>
      <c r="J88" s="26">
        <v>46178.0</v>
      </c>
      <c r="K88" s="26">
        <v>46191.0</v>
      </c>
      <c r="L88" s="9">
        <f t="shared" si="3"/>
        <v>13</v>
      </c>
      <c r="M88" s="9">
        <f t="shared" si="2"/>
        <v>101</v>
      </c>
      <c r="N88" s="23">
        <v>7.0</v>
      </c>
      <c r="O88" s="23"/>
      <c r="P88" s="23" t="s">
        <v>99</v>
      </c>
      <c r="Q88" s="23" t="s">
        <v>150</v>
      </c>
      <c r="R88" s="23" t="s">
        <v>105</v>
      </c>
      <c r="S88" s="23" t="s">
        <v>262</v>
      </c>
    </row>
    <row r="89" ht="12.75" customHeight="1">
      <c r="A89" s="9" t="s">
        <v>29</v>
      </c>
      <c r="B89" s="23" t="s">
        <v>50</v>
      </c>
      <c r="C89" s="23" t="s">
        <v>273</v>
      </c>
      <c r="D89" s="23" t="s">
        <v>274</v>
      </c>
      <c r="E89" s="9" t="s">
        <v>135</v>
      </c>
      <c r="F89" s="23" t="s">
        <v>280</v>
      </c>
      <c r="G89" s="23" t="s">
        <v>179</v>
      </c>
      <c r="H89" s="23" t="s">
        <v>174</v>
      </c>
      <c r="I89" s="26">
        <v>46177.0</v>
      </c>
      <c r="J89" s="26">
        <v>46178.0</v>
      </c>
      <c r="K89" s="26">
        <v>46191.0</v>
      </c>
      <c r="L89" s="9">
        <f t="shared" si="3"/>
        <v>13</v>
      </c>
      <c r="M89" s="9">
        <f t="shared" si="2"/>
        <v>101</v>
      </c>
      <c r="N89" s="23">
        <v>7.0</v>
      </c>
      <c r="O89" s="23"/>
      <c r="P89" s="23" t="s">
        <v>99</v>
      </c>
      <c r="Q89" s="23" t="s">
        <v>150</v>
      </c>
      <c r="R89" s="23" t="s">
        <v>105</v>
      </c>
      <c r="S89" s="23" t="s">
        <v>262</v>
      </c>
    </row>
    <row r="90" ht="12.75" customHeight="1">
      <c r="A90" s="9" t="s">
        <v>29</v>
      </c>
      <c r="B90" s="23" t="s">
        <v>50</v>
      </c>
      <c r="C90" s="23" t="s">
        <v>273</v>
      </c>
      <c r="D90" s="23" t="s">
        <v>274</v>
      </c>
      <c r="E90" s="9" t="s">
        <v>135</v>
      </c>
      <c r="F90" s="23" t="s">
        <v>281</v>
      </c>
      <c r="G90" s="23" t="s">
        <v>282</v>
      </c>
      <c r="H90" s="23" t="s">
        <v>174</v>
      </c>
      <c r="I90" s="26">
        <v>46177.0</v>
      </c>
      <c r="J90" s="26">
        <v>46178.0</v>
      </c>
      <c r="K90" s="26">
        <v>46191.0</v>
      </c>
      <c r="L90" s="9">
        <f t="shared" si="3"/>
        <v>13</v>
      </c>
      <c r="M90" s="9">
        <f t="shared" si="2"/>
        <v>101</v>
      </c>
      <c r="N90" s="23">
        <v>7.0</v>
      </c>
      <c r="O90" s="23"/>
      <c r="P90" s="23" t="s">
        <v>99</v>
      </c>
      <c r="Q90" s="23" t="s">
        <v>150</v>
      </c>
      <c r="R90" s="23" t="s">
        <v>105</v>
      </c>
      <c r="S90" s="23" t="s">
        <v>262</v>
      </c>
    </row>
    <row r="91" ht="12.75" customHeight="1">
      <c r="A91" s="9" t="s">
        <v>29</v>
      </c>
      <c r="B91" s="23" t="s">
        <v>50</v>
      </c>
      <c r="C91" s="23" t="s">
        <v>273</v>
      </c>
      <c r="D91" s="23" t="s">
        <v>274</v>
      </c>
      <c r="E91" s="9" t="s">
        <v>135</v>
      </c>
      <c r="F91" s="23" t="s">
        <v>283</v>
      </c>
      <c r="G91" s="23" t="s">
        <v>284</v>
      </c>
      <c r="H91" s="23" t="s">
        <v>174</v>
      </c>
      <c r="I91" s="26">
        <v>46177.0</v>
      </c>
      <c r="J91" s="26">
        <v>46178.0</v>
      </c>
      <c r="K91" s="26">
        <v>46191.0</v>
      </c>
      <c r="L91" s="9">
        <f t="shared" si="3"/>
        <v>13</v>
      </c>
      <c r="M91" s="9">
        <f t="shared" si="2"/>
        <v>101</v>
      </c>
      <c r="N91" s="23">
        <v>7.0</v>
      </c>
      <c r="O91" s="23"/>
      <c r="P91" s="23" t="s">
        <v>99</v>
      </c>
      <c r="Q91" s="23" t="s">
        <v>150</v>
      </c>
      <c r="R91" s="23" t="s">
        <v>105</v>
      </c>
      <c r="S91" s="23" t="s">
        <v>262</v>
      </c>
    </row>
    <row r="92" ht="12.75" customHeight="1">
      <c r="A92" s="9" t="s">
        <v>29</v>
      </c>
      <c r="B92" s="23" t="s">
        <v>285</v>
      </c>
      <c r="C92" s="23" t="s">
        <v>286</v>
      </c>
      <c r="D92" s="23" t="s">
        <v>57</v>
      </c>
      <c r="E92" s="9" t="s">
        <v>57</v>
      </c>
      <c r="F92" s="23" t="s">
        <v>287</v>
      </c>
      <c r="G92" s="23" t="s">
        <v>288</v>
      </c>
      <c r="H92" s="23" t="s">
        <v>289</v>
      </c>
      <c r="I92" s="26">
        <v>46198.0</v>
      </c>
      <c r="J92" s="26">
        <v>46199.0</v>
      </c>
      <c r="K92" s="26">
        <v>46202.0</v>
      </c>
      <c r="L92" s="9">
        <f t="shared" si="3"/>
        <v>3</v>
      </c>
      <c r="M92" s="9">
        <f t="shared" si="2"/>
        <v>80</v>
      </c>
      <c r="N92" s="23">
        <v>7.0</v>
      </c>
      <c r="O92" s="23"/>
      <c r="P92" s="23" t="s">
        <v>166</v>
      </c>
      <c r="Q92" s="23" t="s">
        <v>248</v>
      </c>
      <c r="R92" s="23" t="s">
        <v>290</v>
      </c>
      <c r="S92" s="23" t="s">
        <v>291</v>
      </c>
    </row>
    <row r="93" ht="12.75" customHeight="1">
      <c r="A93" s="9" t="s">
        <v>29</v>
      </c>
      <c r="B93" s="23" t="s">
        <v>50</v>
      </c>
      <c r="C93" s="23" t="s">
        <v>292</v>
      </c>
      <c r="D93" s="23" t="s">
        <v>135</v>
      </c>
      <c r="E93" s="9" t="s">
        <v>135</v>
      </c>
      <c r="F93" s="23" t="s">
        <v>293</v>
      </c>
      <c r="G93" s="23" t="s">
        <v>294</v>
      </c>
      <c r="H93" s="23" t="s">
        <v>174</v>
      </c>
      <c r="I93" s="26">
        <v>46198.0</v>
      </c>
      <c r="J93" s="26">
        <v>46209.0</v>
      </c>
      <c r="K93" s="26">
        <v>46210.0</v>
      </c>
      <c r="L93" s="9">
        <f t="shared" si="3"/>
        <v>1</v>
      </c>
      <c r="M93" s="9">
        <f t="shared" si="2"/>
        <v>70</v>
      </c>
      <c r="N93" s="23">
        <v>7.0</v>
      </c>
      <c r="O93" s="23"/>
      <c r="P93" s="23" t="s">
        <v>99</v>
      </c>
      <c r="Q93" s="23" t="s">
        <v>295</v>
      </c>
      <c r="R93" s="23" t="s">
        <v>290</v>
      </c>
      <c r="S93" s="23" t="s">
        <v>291</v>
      </c>
    </row>
    <row r="94" ht="12.75" customHeight="1">
      <c r="A94" s="9" t="s">
        <v>29</v>
      </c>
      <c r="B94" s="23" t="s">
        <v>50</v>
      </c>
      <c r="C94" s="23" t="s">
        <v>292</v>
      </c>
      <c r="D94" s="23" t="s">
        <v>135</v>
      </c>
      <c r="E94" s="9" t="s">
        <v>135</v>
      </c>
      <c r="F94" s="23" t="s">
        <v>296</v>
      </c>
      <c r="G94" s="23" t="s">
        <v>297</v>
      </c>
      <c r="H94" s="23" t="s">
        <v>174</v>
      </c>
      <c r="I94" s="26">
        <v>46198.0</v>
      </c>
      <c r="J94" s="26">
        <v>46209.0</v>
      </c>
      <c r="K94" s="26">
        <v>46210.0</v>
      </c>
      <c r="L94" s="9">
        <f t="shared" si="3"/>
        <v>1</v>
      </c>
      <c r="M94" s="9">
        <f t="shared" si="2"/>
        <v>70</v>
      </c>
      <c r="N94" s="23">
        <v>7.0</v>
      </c>
      <c r="O94" s="23"/>
      <c r="P94" s="23" t="s">
        <v>99</v>
      </c>
      <c r="Q94" s="23" t="s">
        <v>295</v>
      </c>
      <c r="R94" s="23" t="s">
        <v>290</v>
      </c>
      <c r="S94" s="23" t="s">
        <v>291</v>
      </c>
    </row>
    <row r="95" ht="12.75" customHeight="1">
      <c r="A95" s="9" t="s">
        <v>29</v>
      </c>
      <c r="B95" s="23" t="s">
        <v>50</v>
      </c>
      <c r="C95" s="23" t="s">
        <v>292</v>
      </c>
      <c r="D95" s="23" t="s">
        <v>135</v>
      </c>
      <c r="E95" s="9" t="s">
        <v>135</v>
      </c>
      <c r="F95" s="23" t="s">
        <v>298</v>
      </c>
      <c r="G95" s="23" t="s">
        <v>299</v>
      </c>
      <c r="H95" s="23" t="s">
        <v>174</v>
      </c>
      <c r="I95" s="26">
        <v>46198.0</v>
      </c>
      <c r="J95" s="26">
        <v>46204.0</v>
      </c>
      <c r="K95" s="26"/>
      <c r="L95" s="9"/>
      <c r="M95" s="9">
        <f t="shared" si="2"/>
        <v>75</v>
      </c>
      <c r="N95" s="23">
        <v>7.0</v>
      </c>
      <c r="O95" s="23"/>
      <c r="P95" s="23" t="s">
        <v>253</v>
      </c>
      <c r="Q95" s="23"/>
      <c r="R95" s="23" t="s">
        <v>290</v>
      </c>
      <c r="S95" s="23" t="s">
        <v>291</v>
      </c>
    </row>
    <row r="96" ht="12.75" customHeight="1">
      <c r="A96" s="9" t="s">
        <v>29</v>
      </c>
      <c r="B96" s="23" t="s">
        <v>50</v>
      </c>
      <c r="C96" s="23" t="s">
        <v>292</v>
      </c>
      <c r="D96" s="23" t="s">
        <v>135</v>
      </c>
      <c r="E96" s="9" t="s">
        <v>135</v>
      </c>
      <c r="F96" s="23" t="s">
        <v>300</v>
      </c>
      <c r="G96" s="23" t="s">
        <v>301</v>
      </c>
      <c r="H96" s="23" t="s">
        <v>174</v>
      </c>
      <c r="I96" s="26">
        <v>46198.0</v>
      </c>
      <c r="J96" s="26"/>
      <c r="K96" s="26"/>
      <c r="L96" s="9"/>
      <c r="M96" s="9"/>
      <c r="N96" s="23"/>
      <c r="O96" s="23"/>
      <c r="P96" s="23" t="s">
        <v>253</v>
      </c>
      <c r="Q96" s="23"/>
      <c r="R96" s="23" t="s">
        <v>290</v>
      </c>
      <c r="S96" s="23" t="s">
        <v>291</v>
      </c>
    </row>
    <row r="97" ht="12.75" customHeight="1">
      <c r="A97" s="9" t="s">
        <v>29</v>
      </c>
      <c r="B97" s="23" t="s">
        <v>50</v>
      </c>
      <c r="C97" s="23" t="s">
        <v>292</v>
      </c>
      <c r="D97" s="23" t="s">
        <v>135</v>
      </c>
      <c r="E97" s="9" t="s">
        <v>135</v>
      </c>
      <c r="F97" s="23" t="s">
        <v>302</v>
      </c>
      <c r="G97" s="23" t="s">
        <v>199</v>
      </c>
      <c r="H97" s="23" t="s">
        <v>174</v>
      </c>
      <c r="I97" s="26">
        <v>46198.0</v>
      </c>
      <c r="J97" s="26"/>
      <c r="K97" s="26"/>
      <c r="L97" s="9"/>
      <c r="M97" s="9"/>
      <c r="N97" s="23"/>
      <c r="O97" s="23"/>
      <c r="P97" s="23" t="s">
        <v>253</v>
      </c>
      <c r="Q97" s="23"/>
      <c r="R97" s="23" t="s">
        <v>290</v>
      </c>
      <c r="S97" s="23" t="s">
        <v>291</v>
      </c>
    </row>
    <row r="98" ht="12.75" customHeight="1">
      <c r="A98" s="9" t="s">
        <v>29</v>
      </c>
      <c r="B98" s="23" t="s">
        <v>50</v>
      </c>
      <c r="C98" s="23" t="s">
        <v>292</v>
      </c>
      <c r="D98" s="23" t="s">
        <v>135</v>
      </c>
      <c r="E98" s="9" t="s">
        <v>135</v>
      </c>
      <c r="F98" s="23" t="s">
        <v>303</v>
      </c>
      <c r="G98" s="23" t="s">
        <v>304</v>
      </c>
      <c r="H98" s="23" t="s">
        <v>174</v>
      </c>
      <c r="I98" s="26">
        <v>46198.0</v>
      </c>
      <c r="J98" s="26">
        <v>46209.0</v>
      </c>
      <c r="K98" s="26">
        <v>46211.0</v>
      </c>
      <c r="L98" s="9">
        <f t="shared" ref="L98:L100" si="4">K98-J98</f>
        <v>2</v>
      </c>
      <c r="M98" s="9">
        <f t="shared" ref="M98:M100" si="5">TODAY()-J98</f>
        <v>70</v>
      </c>
      <c r="N98" s="23">
        <v>7.0</v>
      </c>
      <c r="O98" s="23"/>
      <c r="P98" s="23" t="s">
        <v>99</v>
      </c>
      <c r="Q98" s="23" t="s">
        <v>305</v>
      </c>
      <c r="R98" s="23" t="s">
        <v>290</v>
      </c>
      <c r="S98" s="23" t="s">
        <v>291</v>
      </c>
    </row>
    <row r="99" ht="12.75" customHeight="1">
      <c r="A99" s="9" t="s">
        <v>29</v>
      </c>
      <c r="B99" s="23" t="s">
        <v>50</v>
      </c>
      <c r="C99" s="23" t="s">
        <v>292</v>
      </c>
      <c r="D99" s="23" t="s">
        <v>135</v>
      </c>
      <c r="E99" s="9" t="s">
        <v>135</v>
      </c>
      <c r="F99" s="23" t="s">
        <v>306</v>
      </c>
      <c r="G99" s="23" t="s">
        <v>307</v>
      </c>
      <c r="H99" s="23" t="s">
        <v>174</v>
      </c>
      <c r="I99" s="26">
        <v>46198.0</v>
      </c>
      <c r="J99" s="26">
        <v>46208.0</v>
      </c>
      <c r="K99" s="26">
        <v>46209.0</v>
      </c>
      <c r="L99" s="9">
        <f t="shared" si="4"/>
        <v>1</v>
      </c>
      <c r="M99" s="9">
        <f t="shared" si="5"/>
        <v>71</v>
      </c>
      <c r="N99" s="23">
        <v>7.0</v>
      </c>
      <c r="O99" s="23"/>
      <c r="P99" s="23" t="s">
        <v>99</v>
      </c>
      <c r="Q99" s="23" t="s">
        <v>295</v>
      </c>
      <c r="R99" s="23" t="s">
        <v>290</v>
      </c>
      <c r="S99" s="23" t="s">
        <v>291</v>
      </c>
    </row>
    <row r="100" ht="12.75" customHeight="1">
      <c r="A100" s="9" t="s">
        <v>29</v>
      </c>
      <c r="B100" s="23" t="s">
        <v>50</v>
      </c>
      <c r="C100" s="23" t="s">
        <v>292</v>
      </c>
      <c r="D100" s="23" t="s">
        <v>135</v>
      </c>
      <c r="E100" s="9" t="s">
        <v>135</v>
      </c>
      <c r="F100" s="23" t="s">
        <v>308</v>
      </c>
      <c r="G100" s="23" t="s">
        <v>244</v>
      </c>
      <c r="H100" s="23" t="s">
        <v>174</v>
      </c>
      <c r="I100" s="26">
        <v>46198.0</v>
      </c>
      <c r="J100" s="26">
        <v>46209.0</v>
      </c>
      <c r="K100" s="26">
        <v>46212.0</v>
      </c>
      <c r="L100" s="9">
        <f t="shared" si="4"/>
        <v>3</v>
      </c>
      <c r="M100" s="9">
        <f t="shared" si="5"/>
        <v>70</v>
      </c>
      <c r="N100" s="23">
        <v>7.0</v>
      </c>
      <c r="O100" s="23"/>
      <c r="P100" s="23" t="s">
        <v>99</v>
      </c>
      <c r="Q100" s="23" t="s">
        <v>309</v>
      </c>
      <c r="R100" s="23" t="s">
        <v>290</v>
      </c>
      <c r="S100" s="23" t="s">
        <v>291</v>
      </c>
    </row>
    <row r="101" ht="12.75" customHeight="1">
      <c r="A101" s="9" t="s">
        <v>29</v>
      </c>
      <c r="B101" s="23" t="s">
        <v>50</v>
      </c>
      <c r="C101" s="23" t="s">
        <v>292</v>
      </c>
      <c r="D101" s="23" t="s">
        <v>135</v>
      </c>
      <c r="E101" s="9" t="s">
        <v>135</v>
      </c>
      <c r="F101" s="23" t="s">
        <v>310</v>
      </c>
      <c r="G101" s="23" t="s">
        <v>236</v>
      </c>
      <c r="H101" s="23" t="s">
        <v>174</v>
      </c>
      <c r="I101" s="26">
        <v>46198.0</v>
      </c>
      <c r="J101" s="26"/>
      <c r="K101" s="26"/>
      <c r="L101" s="9"/>
      <c r="M101" s="9"/>
      <c r="N101" s="23"/>
      <c r="O101" s="23"/>
      <c r="P101" s="23" t="s">
        <v>253</v>
      </c>
      <c r="Q101" s="23"/>
      <c r="R101" s="23" t="s">
        <v>290</v>
      </c>
      <c r="S101" s="23" t="s">
        <v>291</v>
      </c>
    </row>
    <row r="102" ht="12.75" customHeight="1">
      <c r="A102" s="9" t="s">
        <v>29</v>
      </c>
      <c r="B102" s="23" t="s">
        <v>86</v>
      </c>
      <c r="C102" s="23" t="s">
        <v>292</v>
      </c>
      <c r="D102" s="23" t="s">
        <v>135</v>
      </c>
      <c r="E102" s="9" t="s">
        <v>135</v>
      </c>
      <c r="F102" s="23" t="s">
        <v>311</v>
      </c>
      <c r="G102" s="23" t="s">
        <v>312</v>
      </c>
      <c r="H102" s="23" t="s">
        <v>174</v>
      </c>
      <c r="I102" s="26">
        <v>46198.0</v>
      </c>
      <c r="J102" s="26">
        <v>46214.0</v>
      </c>
      <c r="K102" s="26">
        <v>46216.0</v>
      </c>
      <c r="L102" s="9">
        <f>K102-J102</f>
        <v>2</v>
      </c>
      <c r="M102" s="9">
        <f>TODAY()-J102</f>
        <v>65</v>
      </c>
      <c r="N102" s="23">
        <v>7.0</v>
      </c>
      <c r="O102" s="23"/>
      <c r="P102" s="23" t="s">
        <v>99</v>
      </c>
      <c r="Q102" s="23" t="s">
        <v>313</v>
      </c>
      <c r="R102" s="23" t="s">
        <v>290</v>
      </c>
      <c r="S102" s="23" t="s">
        <v>291</v>
      </c>
    </row>
    <row r="103" ht="12.75" customHeight="1">
      <c r="A103" s="9" t="s">
        <v>29</v>
      </c>
      <c r="B103" s="23" t="s">
        <v>86</v>
      </c>
      <c r="C103" s="23" t="s">
        <v>292</v>
      </c>
      <c r="D103" s="23" t="s">
        <v>135</v>
      </c>
      <c r="E103" s="9" t="s">
        <v>135</v>
      </c>
      <c r="F103" s="23" t="s">
        <v>314</v>
      </c>
      <c r="G103" s="23" t="s">
        <v>315</v>
      </c>
      <c r="H103" s="23" t="s">
        <v>174</v>
      </c>
      <c r="I103" s="26">
        <v>46198.0</v>
      </c>
      <c r="J103" s="26"/>
      <c r="K103" s="26"/>
      <c r="L103" s="9"/>
      <c r="M103" s="9"/>
      <c r="N103" s="23"/>
      <c r="O103" s="23"/>
      <c r="P103" s="23" t="s">
        <v>253</v>
      </c>
      <c r="Q103" s="23"/>
      <c r="R103" s="23" t="s">
        <v>290</v>
      </c>
      <c r="S103" s="23" t="s">
        <v>291</v>
      </c>
    </row>
    <row r="104" ht="12.75" customHeight="1">
      <c r="A104" s="9" t="s">
        <v>29</v>
      </c>
      <c r="B104" s="23" t="s">
        <v>86</v>
      </c>
      <c r="C104" s="23" t="s">
        <v>292</v>
      </c>
      <c r="D104" s="23" t="s">
        <v>135</v>
      </c>
      <c r="E104" s="9" t="s">
        <v>135</v>
      </c>
      <c r="F104" s="23" t="s">
        <v>316</v>
      </c>
      <c r="G104" s="23" t="s">
        <v>236</v>
      </c>
      <c r="H104" s="23" t="s">
        <v>174</v>
      </c>
      <c r="I104" s="26">
        <v>46198.0</v>
      </c>
      <c r="J104" s="26">
        <v>46223.0</v>
      </c>
      <c r="K104" s="26">
        <v>46224.0</v>
      </c>
      <c r="L104" s="9">
        <f t="shared" ref="L104:L108" si="6">K104-J104</f>
        <v>1</v>
      </c>
      <c r="M104" s="9">
        <f t="shared" ref="M104:M108" si="7">TODAY()-J104</f>
        <v>56</v>
      </c>
      <c r="N104" s="23">
        <v>7.0</v>
      </c>
      <c r="O104" s="23"/>
      <c r="P104" s="23" t="s">
        <v>99</v>
      </c>
      <c r="Q104" s="23" t="s">
        <v>295</v>
      </c>
      <c r="R104" s="23" t="s">
        <v>290</v>
      </c>
      <c r="S104" s="23" t="s">
        <v>291</v>
      </c>
    </row>
    <row r="105" ht="12.75" customHeight="1">
      <c r="A105" s="9" t="s">
        <v>29</v>
      </c>
      <c r="B105" s="23" t="s">
        <v>86</v>
      </c>
      <c r="C105" s="23" t="s">
        <v>292</v>
      </c>
      <c r="D105" s="23" t="s">
        <v>135</v>
      </c>
      <c r="E105" s="9" t="s">
        <v>135</v>
      </c>
      <c r="F105" s="23" t="s">
        <v>317</v>
      </c>
      <c r="G105" s="23" t="s">
        <v>318</v>
      </c>
      <c r="H105" s="23" t="s">
        <v>174</v>
      </c>
      <c r="I105" s="26">
        <v>46198.0</v>
      </c>
      <c r="J105" s="26">
        <v>46209.0</v>
      </c>
      <c r="K105" s="26">
        <v>46211.0</v>
      </c>
      <c r="L105" s="9">
        <f t="shared" si="6"/>
        <v>2</v>
      </c>
      <c r="M105" s="9">
        <f t="shared" si="7"/>
        <v>70</v>
      </c>
      <c r="N105" s="23">
        <v>7.0</v>
      </c>
      <c r="O105" s="23"/>
      <c r="P105" s="23" t="s">
        <v>99</v>
      </c>
      <c r="Q105" s="23" t="s">
        <v>295</v>
      </c>
      <c r="R105" s="23" t="s">
        <v>290</v>
      </c>
      <c r="S105" s="23" t="s">
        <v>291</v>
      </c>
    </row>
    <row r="106" ht="12.75" customHeight="1">
      <c r="A106" s="9" t="s">
        <v>29</v>
      </c>
      <c r="B106" s="23" t="s">
        <v>86</v>
      </c>
      <c r="C106" s="23" t="s">
        <v>292</v>
      </c>
      <c r="D106" s="23" t="s">
        <v>135</v>
      </c>
      <c r="E106" s="9" t="s">
        <v>135</v>
      </c>
      <c r="F106" s="23" t="s">
        <v>319</v>
      </c>
      <c r="G106" s="23" t="s">
        <v>320</v>
      </c>
      <c r="H106" s="23" t="s">
        <v>174</v>
      </c>
      <c r="I106" s="26">
        <v>46198.0</v>
      </c>
      <c r="J106" s="26">
        <v>46209.0</v>
      </c>
      <c r="K106" s="26">
        <v>46211.0</v>
      </c>
      <c r="L106" s="9">
        <f t="shared" si="6"/>
        <v>2</v>
      </c>
      <c r="M106" s="9">
        <f t="shared" si="7"/>
        <v>70</v>
      </c>
      <c r="N106" s="23">
        <v>7.0</v>
      </c>
      <c r="O106" s="23"/>
      <c r="P106" s="23" t="s">
        <v>99</v>
      </c>
      <c r="Q106" s="23" t="s">
        <v>295</v>
      </c>
      <c r="R106" s="23" t="s">
        <v>290</v>
      </c>
      <c r="S106" s="23" t="s">
        <v>291</v>
      </c>
    </row>
    <row r="107" ht="12.75" customHeight="1">
      <c r="A107" s="9" t="s">
        <v>29</v>
      </c>
      <c r="B107" s="23" t="s">
        <v>86</v>
      </c>
      <c r="C107" s="23" t="s">
        <v>292</v>
      </c>
      <c r="D107" s="23" t="s">
        <v>135</v>
      </c>
      <c r="E107" s="9" t="s">
        <v>135</v>
      </c>
      <c r="F107" s="23" t="s">
        <v>321</v>
      </c>
      <c r="G107" s="23" t="s">
        <v>230</v>
      </c>
      <c r="H107" s="23" t="s">
        <v>174</v>
      </c>
      <c r="I107" s="26">
        <v>46198.0</v>
      </c>
      <c r="J107" s="26">
        <v>46204.0</v>
      </c>
      <c r="K107" s="26">
        <v>46217.0</v>
      </c>
      <c r="L107" s="9">
        <f t="shared" si="6"/>
        <v>13</v>
      </c>
      <c r="M107" s="9">
        <f t="shared" si="7"/>
        <v>75</v>
      </c>
      <c r="N107" s="23">
        <v>7.0</v>
      </c>
      <c r="O107" s="23"/>
      <c r="P107" s="23" t="s">
        <v>99</v>
      </c>
      <c r="Q107" s="23" t="s">
        <v>322</v>
      </c>
      <c r="R107" s="23" t="s">
        <v>290</v>
      </c>
      <c r="S107" s="23" t="s">
        <v>291</v>
      </c>
    </row>
    <row r="108" ht="12.75" customHeight="1">
      <c r="A108" s="9" t="s">
        <v>29</v>
      </c>
      <c r="B108" s="23" t="s">
        <v>86</v>
      </c>
      <c r="C108" s="23" t="s">
        <v>292</v>
      </c>
      <c r="D108" s="23" t="s">
        <v>135</v>
      </c>
      <c r="E108" s="9" t="s">
        <v>135</v>
      </c>
      <c r="F108" s="23" t="s">
        <v>323</v>
      </c>
      <c r="G108" s="23" t="s">
        <v>324</v>
      </c>
      <c r="H108" s="23" t="s">
        <v>174</v>
      </c>
      <c r="I108" s="26">
        <v>46198.0</v>
      </c>
      <c r="J108" s="26">
        <v>46204.0</v>
      </c>
      <c r="K108" s="26">
        <v>46206.0</v>
      </c>
      <c r="L108" s="9">
        <f t="shared" si="6"/>
        <v>2</v>
      </c>
      <c r="M108" s="9">
        <f t="shared" si="7"/>
        <v>75</v>
      </c>
      <c r="N108" s="23">
        <v>7.0</v>
      </c>
      <c r="O108" s="23"/>
      <c r="P108" s="23" t="s">
        <v>99</v>
      </c>
      <c r="Q108" s="23" t="s">
        <v>295</v>
      </c>
      <c r="R108" s="23" t="s">
        <v>290</v>
      </c>
      <c r="S108" s="23" t="s">
        <v>291</v>
      </c>
    </row>
    <row r="109" ht="12.75" customHeight="1">
      <c r="A109" s="9" t="s">
        <v>29</v>
      </c>
      <c r="B109" s="23" t="s">
        <v>86</v>
      </c>
      <c r="C109" s="23" t="s">
        <v>292</v>
      </c>
      <c r="D109" s="23" t="s">
        <v>135</v>
      </c>
      <c r="E109" s="9" t="s">
        <v>135</v>
      </c>
      <c r="F109" s="23" t="s">
        <v>325</v>
      </c>
      <c r="G109" s="23" t="s">
        <v>244</v>
      </c>
      <c r="H109" s="23" t="s">
        <v>174</v>
      </c>
      <c r="I109" s="26">
        <v>46198.0</v>
      </c>
      <c r="J109" s="26"/>
      <c r="K109" s="26"/>
      <c r="L109" s="9"/>
      <c r="M109" s="9"/>
      <c r="N109" s="23"/>
      <c r="O109" s="23"/>
      <c r="P109" s="23" t="s">
        <v>253</v>
      </c>
      <c r="Q109" s="23"/>
      <c r="R109" s="23" t="s">
        <v>290</v>
      </c>
      <c r="S109" s="23" t="s">
        <v>291</v>
      </c>
    </row>
    <row r="110" ht="12.75" customHeight="1">
      <c r="A110" s="9" t="s">
        <v>29</v>
      </c>
      <c r="B110" s="23" t="s">
        <v>86</v>
      </c>
      <c r="C110" s="23" t="s">
        <v>292</v>
      </c>
      <c r="D110" s="23" t="s">
        <v>135</v>
      </c>
      <c r="E110" s="9" t="s">
        <v>135</v>
      </c>
      <c r="F110" s="23" t="s">
        <v>326</v>
      </c>
      <c r="G110" s="23" t="s">
        <v>236</v>
      </c>
      <c r="H110" s="23" t="s">
        <v>174</v>
      </c>
      <c r="I110" s="26">
        <v>46198.0</v>
      </c>
      <c r="J110" s="26"/>
      <c r="K110" s="26"/>
      <c r="L110" s="9"/>
      <c r="M110" s="9"/>
      <c r="N110" s="23"/>
      <c r="O110" s="23"/>
      <c r="P110" s="23" t="s">
        <v>253</v>
      </c>
      <c r="Q110" s="23"/>
      <c r="R110" s="23" t="s">
        <v>290</v>
      </c>
      <c r="S110" s="23" t="s">
        <v>291</v>
      </c>
    </row>
    <row r="111" ht="12.75" customHeight="1">
      <c r="A111" s="9" t="s">
        <v>29</v>
      </c>
      <c r="B111" s="23" t="s">
        <v>50</v>
      </c>
      <c r="C111" s="23" t="s">
        <v>292</v>
      </c>
      <c r="D111" s="23" t="s">
        <v>135</v>
      </c>
      <c r="E111" s="9" t="s">
        <v>135</v>
      </c>
      <c r="F111" s="23" t="s">
        <v>306</v>
      </c>
      <c r="G111" s="23" t="s">
        <v>307</v>
      </c>
      <c r="H111" s="23" t="s">
        <v>140</v>
      </c>
      <c r="I111" s="26">
        <v>46229.0</v>
      </c>
      <c r="J111" s="26">
        <v>46229.0</v>
      </c>
      <c r="K111" s="26">
        <v>46230.0</v>
      </c>
      <c r="L111" s="9">
        <f t="shared" ref="L111:L115" si="8">K111-J111</f>
        <v>1</v>
      </c>
      <c r="M111" s="9">
        <f t="shared" ref="M111:M116" si="9">TODAY()-J111</f>
        <v>50</v>
      </c>
      <c r="N111" s="23">
        <v>7.0</v>
      </c>
      <c r="O111" s="23"/>
      <c r="P111" s="23" t="s">
        <v>327</v>
      </c>
      <c r="Q111" s="23" t="s">
        <v>328</v>
      </c>
      <c r="R111" s="23" t="s">
        <v>290</v>
      </c>
      <c r="S111" s="23" t="s">
        <v>291</v>
      </c>
    </row>
    <row r="112" ht="12.75" customHeight="1">
      <c r="A112" s="9" t="s">
        <v>29</v>
      </c>
      <c r="B112" s="23" t="s">
        <v>221</v>
      </c>
      <c r="C112" s="23" t="s">
        <v>222</v>
      </c>
      <c r="D112" s="23" t="s">
        <v>135</v>
      </c>
      <c r="E112" s="9" t="s">
        <v>135</v>
      </c>
      <c r="F112" s="23" t="s">
        <v>237</v>
      </c>
      <c r="G112" s="23" t="s">
        <v>238</v>
      </c>
      <c r="H112" s="23" t="s">
        <v>329</v>
      </c>
      <c r="I112" s="26">
        <v>46233.0</v>
      </c>
      <c r="J112" s="26">
        <v>46233.0</v>
      </c>
      <c r="K112" s="26">
        <v>46234.0</v>
      </c>
      <c r="L112" s="9">
        <f t="shared" si="8"/>
        <v>1</v>
      </c>
      <c r="M112" s="9">
        <f t="shared" si="9"/>
        <v>46</v>
      </c>
      <c r="N112" s="23">
        <v>2.0</v>
      </c>
      <c r="O112" s="23"/>
      <c r="P112" s="23" t="s">
        <v>211</v>
      </c>
      <c r="Q112" s="23"/>
      <c r="R112" s="23" t="s">
        <v>105</v>
      </c>
      <c r="S112" s="23" t="s">
        <v>262</v>
      </c>
    </row>
    <row r="113" ht="12.75" customHeight="1">
      <c r="A113" s="9" t="s">
        <v>29</v>
      </c>
      <c r="B113" s="23" t="s">
        <v>221</v>
      </c>
      <c r="C113" s="23" t="s">
        <v>222</v>
      </c>
      <c r="D113" s="23" t="s">
        <v>135</v>
      </c>
      <c r="E113" s="9" t="s">
        <v>135</v>
      </c>
      <c r="F113" s="23" t="s">
        <v>239</v>
      </c>
      <c r="G113" s="23" t="s">
        <v>144</v>
      </c>
      <c r="H113" s="23" t="s">
        <v>329</v>
      </c>
      <c r="I113" s="26">
        <v>46233.0</v>
      </c>
      <c r="J113" s="26">
        <v>46233.0</v>
      </c>
      <c r="K113" s="26">
        <v>46234.0</v>
      </c>
      <c r="L113" s="9">
        <f t="shared" si="8"/>
        <v>1</v>
      </c>
      <c r="M113" s="9">
        <f t="shared" si="9"/>
        <v>46</v>
      </c>
      <c r="N113" s="23">
        <v>2.0</v>
      </c>
      <c r="O113" s="23"/>
      <c r="P113" s="23" t="s">
        <v>211</v>
      </c>
      <c r="Q113" s="23"/>
      <c r="R113" s="23" t="s">
        <v>105</v>
      </c>
      <c r="S113" s="23" t="s">
        <v>262</v>
      </c>
    </row>
    <row r="114" ht="12.75" customHeight="1">
      <c r="A114" s="9" t="s">
        <v>29</v>
      </c>
      <c r="B114" s="23" t="s">
        <v>221</v>
      </c>
      <c r="C114" s="23" t="s">
        <v>222</v>
      </c>
      <c r="D114" s="23" t="s">
        <v>135</v>
      </c>
      <c r="E114" s="9" t="s">
        <v>135</v>
      </c>
      <c r="F114" s="23" t="s">
        <v>240</v>
      </c>
      <c r="G114" s="23" t="s">
        <v>241</v>
      </c>
      <c r="H114" s="23" t="s">
        <v>329</v>
      </c>
      <c r="I114" s="26">
        <v>46233.0</v>
      </c>
      <c r="J114" s="26">
        <v>46233.0</v>
      </c>
      <c r="K114" s="26">
        <v>46234.0</v>
      </c>
      <c r="L114" s="9">
        <f t="shared" si="8"/>
        <v>1</v>
      </c>
      <c r="M114" s="9">
        <f t="shared" si="9"/>
        <v>46</v>
      </c>
      <c r="N114" s="23">
        <v>2.0</v>
      </c>
      <c r="O114" s="23"/>
      <c r="P114" s="23" t="s">
        <v>211</v>
      </c>
      <c r="Q114" s="23"/>
      <c r="R114" s="23" t="s">
        <v>105</v>
      </c>
      <c r="S114" s="23" t="s">
        <v>262</v>
      </c>
    </row>
    <row r="115" ht="12.75" customHeight="1">
      <c r="A115" s="9" t="s">
        <v>29</v>
      </c>
      <c r="B115" s="23" t="s">
        <v>221</v>
      </c>
      <c r="C115" s="23" t="s">
        <v>222</v>
      </c>
      <c r="D115" s="23" t="s">
        <v>135</v>
      </c>
      <c r="E115" s="9" t="s">
        <v>135</v>
      </c>
      <c r="F115" s="23" t="s">
        <v>242</v>
      </c>
      <c r="G115" s="23" t="s">
        <v>236</v>
      </c>
      <c r="H115" s="23" t="s">
        <v>329</v>
      </c>
      <c r="I115" s="26">
        <v>46233.0</v>
      </c>
      <c r="J115" s="26">
        <v>46233.0</v>
      </c>
      <c r="K115" s="26">
        <v>46234.0</v>
      </c>
      <c r="L115" s="9">
        <f t="shared" si="8"/>
        <v>1</v>
      </c>
      <c r="M115" s="9">
        <f t="shared" si="9"/>
        <v>46</v>
      </c>
      <c r="N115" s="23">
        <v>2.0</v>
      </c>
      <c r="O115" s="23"/>
      <c r="P115" s="23" t="s">
        <v>211</v>
      </c>
      <c r="Q115" s="23"/>
      <c r="R115" s="23" t="s">
        <v>105</v>
      </c>
      <c r="S115" s="23" t="s">
        <v>262</v>
      </c>
    </row>
    <row r="116" ht="12.75" customHeight="1">
      <c r="A116" s="9" t="s">
        <v>29</v>
      </c>
      <c r="B116" s="23" t="s">
        <v>221</v>
      </c>
      <c r="C116" s="23" t="s">
        <v>222</v>
      </c>
      <c r="D116" s="23" t="s">
        <v>135</v>
      </c>
      <c r="E116" s="9" t="s">
        <v>135</v>
      </c>
      <c r="F116" s="23" t="s">
        <v>243</v>
      </c>
      <c r="G116" s="23" t="s">
        <v>244</v>
      </c>
      <c r="H116" s="23" t="s">
        <v>329</v>
      </c>
      <c r="I116" s="26">
        <v>46233.0</v>
      </c>
      <c r="J116" s="26">
        <v>46233.0</v>
      </c>
      <c r="K116" s="26"/>
      <c r="L116" s="9"/>
      <c r="M116" s="9">
        <f t="shared" si="9"/>
        <v>46</v>
      </c>
      <c r="N116" s="23">
        <v>2.0</v>
      </c>
      <c r="O116" s="23"/>
      <c r="P116" s="23" t="s">
        <v>253</v>
      </c>
      <c r="Q116" s="23"/>
      <c r="R116" s="23" t="s">
        <v>290</v>
      </c>
      <c r="S116" s="23" t="s">
        <v>291</v>
      </c>
    </row>
    <row r="117" ht="12.75" customHeight="1">
      <c r="A117" s="9" t="s">
        <v>29</v>
      </c>
      <c r="B117" s="23" t="s">
        <v>285</v>
      </c>
      <c r="C117" s="23" t="s">
        <v>270</v>
      </c>
      <c r="D117" s="23" t="s">
        <v>54</v>
      </c>
      <c r="E117" s="23" t="s">
        <v>57</v>
      </c>
      <c r="F117" s="23" t="s">
        <v>287</v>
      </c>
      <c r="G117" s="23" t="s">
        <v>288</v>
      </c>
      <c r="H117" s="23" t="s">
        <v>60</v>
      </c>
      <c r="I117" s="26">
        <v>46233.0</v>
      </c>
      <c r="J117" s="26">
        <v>46234.0</v>
      </c>
      <c r="K117" s="26"/>
      <c r="L117" s="9"/>
      <c r="M117" s="9"/>
      <c r="N117" s="23">
        <v>7.0</v>
      </c>
      <c r="O117" s="23"/>
      <c r="P117" s="23" t="s">
        <v>253</v>
      </c>
      <c r="Q117" s="23"/>
      <c r="R117" s="23" t="s">
        <v>290</v>
      </c>
      <c r="S117" s="23" t="s">
        <v>291</v>
      </c>
    </row>
    <row r="118" ht="12.75" customHeight="1">
      <c r="A118" s="9" t="s">
        <v>29</v>
      </c>
      <c r="B118" s="23" t="s">
        <v>86</v>
      </c>
      <c r="C118" s="23" t="s">
        <v>270</v>
      </c>
      <c r="D118" s="23" t="s">
        <v>54</v>
      </c>
      <c r="E118" s="23" t="s">
        <v>57</v>
      </c>
      <c r="F118" s="23" t="s">
        <v>330</v>
      </c>
      <c r="G118" s="23" t="s">
        <v>331</v>
      </c>
      <c r="H118" s="23" t="s">
        <v>60</v>
      </c>
      <c r="I118" s="26">
        <v>46233.0</v>
      </c>
      <c r="J118" s="26">
        <v>46234.0</v>
      </c>
      <c r="K118" s="26"/>
      <c r="L118" s="9"/>
      <c r="M118" s="9"/>
      <c r="N118" s="23">
        <v>7.0</v>
      </c>
      <c r="O118" s="23"/>
      <c r="P118" s="23" t="s">
        <v>253</v>
      </c>
      <c r="Q118" s="23"/>
      <c r="R118" s="23" t="s">
        <v>290</v>
      </c>
      <c r="S118" s="23" t="s">
        <v>291</v>
      </c>
    </row>
    <row r="119" ht="12.75" customHeight="1">
      <c r="A119" s="9" t="s">
        <v>29</v>
      </c>
      <c r="B119" s="23" t="s">
        <v>86</v>
      </c>
      <c r="C119" s="23" t="s">
        <v>332</v>
      </c>
      <c r="D119" s="23" t="s">
        <v>333</v>
      </c>
      <c r="E119" s="23" t="s">
        <v>57</v>
      </c>
      <c r="F119" s="23" t="s">
        <v>334</v>
      </c>
      <c r="G119" s="23" t="s">
        <v>335</v>
      </c>
      <c r="H119" s="23" t="s">
        <v>336</v>
      </c>
      <c r="I119" s="26">
        <v>46237.0</v>
      </c>
      <c r="J119" s="26">
        <v>46244.0</v>
      </c>
      <c r="K119" s="26">
        <v>46266.0</v>
      </c>
      <c r="L119" s="9">
        <f t="shared" ref="L119:L135" si="10">K119-J119</f>
        <v>22</v>
      </c>
      <c r="M119" s="9">
        <f t="shared" ref="M119:M136" si="11">TODAY()-J119</f>
        <v>35</v>
      </c>
      <c r="N119" s="23">
        <v>7.0</v>
      </c>
      <c r="O119" s="23"/>
      <c r="P119" s="23" t="s">
        <v>99</v>
      </c>
      <c r="Q119" s="23"/>
      <c r="R119" s="23" t="s">
        <v>105</v>
      </c>
      <c r="S119" s="23" t="s">
        <v>262</v>
      </c>
    </row>
    <row r="120" ht="12.75" customHeight="1">
      <c r="A120" s="9" t="s">
        <v>29</v>
      </c>
      <c r="B120" s="23" t="s">
        <v>86</v>
      </c>
      <c r="C120" s="23" t="s">
        <v>332</v>
      </c>
      <c r="D120" s="23" t="s">
        <v>333</v>
      </c>
      <c r="E120" s="23" t="s">
        <v>54</v>
      </c>
      <c r="F120" s="23" t="s">
        <v>337</v>
      </c>
      <c r="G120" s="23" t="s">
        <v>338</v>
      </c>
      <c r="H120" s="23" t="s">
        <v>339</v>
      </c>
      <c r="I120" s="26">
        <v>46237.0</v>
      </c>
      <c r="J120" s="26">
        <v>46244.0</v>
      </c>
      <c r="K120" s="26">
        <v>46266.0</v>
      </c>
      <c r="L120" s="9">
        <f t="shared" si="10"/>
        <v>22</v>
      </c>
      <c r="M120" s="9">
        <f t="shared" si="11"/>
        <v>35</v>
      </c>
      <c r="N120" s="23">
        <v>7.0</v>
      </c>
      <c r="O120" s="23"/>
      <c r="P120" s="23" t="s">
        <v>99</v>
      </c>
      <c r="Q120" s="23"/>
      <c r="R120" s="23" t="s">
        <v>105</v>
      </c>
      <c r="S120" s="23" t="s">
        <v>262</v>
      </c>
    </row>
    <row r="121" ht="12.75" customHeight="1">
      <c r="A121" s="9" t="s">
        <v>29</v>
      </c>
      <c r="B121" s="23" t="s">
        <v>86</v>
      </c>
      <c r="C121" s="23" t="s">
        <v>332</v>
      </c>
      <c r="D121" s="23" t="s">
        <v>333</v>
      </c>
      <c r="E121" s="9" t="s">
        <v>135</v>
      </c>
      <c r="F121" s="23" t="s">
        <v>340</v>
      </c>
      <c r="G121" s="23" t="s">
        <v>341</v>
      </c>
      <c r="H121" s="23" t="s">
        <v>174</v>
      </c>
      <c r="I121" s="26">
        <v>46237.0</v>
      </c>
      <c r="J121" s="26">
        <v>46244.0</v>
      </c>
      <c r="K121" s="26">
        <v>46272.0</v>
      </c>
      <c r="L121" s="9">
        <f t="shared" si="10"/>
        <v>28</v>
      </c>
      <c r="M121" s="9">
        <f t="shared" si="11"/>
        <v>35</v>
      </c>
      <c r="N121" s="23">
        <v>7.0</v>
      </c>
      <c r="O121" s="23"/>
      <c r="P121" s="23" t="s">
        <v>99</v>
      </c>
      <c r="Q121" s="23"/>
      <c r="R121" s="23" t="s">
        <v>105</v>
      </c>
      <c r="S121" s="23" t="s">
        <v>262</v>
      </c>
    </row>
    <row r="122" ht="12.75" customHeight="1">
      <c r="A122" s="9" t="s">
        <v>29</v>
      </c>
      <c r="B122" s="23" t="s">
        <v>86</v>
      </c>
      <c r="C122" s="23" t="s">
        <v>332</v>
      </c>
      <c r="D122" s="23" t="s">
        <v>333</v>
      </c>
      <c r="E122" s="9" t="s">
        <v>135</v>
      </c>
      <c r="F122" s="23" t="s">
        <v>342</v>
      </c>
      <c r="G122" s="23" t="s">
        <v>343</v>
      </c>
      <c r="H122" s="23" t="s">
        <v>174</v>
      </c>
      <c r="I122" s="26">
        <v>46237.0</v>
      </c>
      <c r="J122" s="26">
        <v>46244.0</v>
      </c>
      <c r="K122" s="26">
        <v>46272.0</v>
      </c>
      <c r="L122" s="9">
        <f t="shared" si="10"/>
        <v>28</v>
      </c>
      <c r="M122" s="9">
        <f t="shared" si="11"/>
        <v>35</v>
      </c>
      <c r="N122" s="23">
        <v>7.0</v>
      </c>
      <c r="O122" s="23"/>
      <c r="P122" s="23" t="s">
        <v>99</v>
      </c>
      <c r="Q122" s="23"/>
      <c r="R122" s="23" t="s">
        <v>105</v>
      </c>
      <c r="S122" s="23" t="s">
        <v>262</v>
      </c>
    </row>
    <row r="123" ht="12.75" customHeight="1">
      <c r="A123" s="9" t="s">
        <v>29</v>
      </c>
      <c r="B123" s="23" t="s">
        <v>86</v>
      </c>
      <c r="C123" s="23" t="s">
        <v>332</v>
      </c>
      <c r="D123" s="23" t="s">
        <v>333</v>
      </c>
      <c r="E123" s="9" t="s">
        <v>135</v>
      </c>
      <c r="F123" s="23" t="s">
        <v>344</v>
      </c>
      <c r="G123" s="23" t="s">
        <v>177</v>
      </c>
      <c r="H123" s="23" t="s">
        <v>174</v>
      </c>
      <c r="I123" s="26">
        <v>46237.0</v>
      </c>
      <c r="J123" s="26">
        <v>46244.0</v>
      </c>
      <c r="K123" s="26">
        <v>46267.0</v>
      </c>
      <c r="L123" s="9">
        <f t="shared" si="10"/>
        <v>23</v>
      </c>
      <c r="M123" s="9">
        <f t="shared" si="11"/>
        <v>35</v>
      </c>
      <c r="N123" s="23">
        <v>7.0</v>
      </c>
      <c r="O123" s="23"/>
      <c r="P123" s="23" t="s">
        <v>99</v>
      </c>
      <c r="Q123" s="23"/>
      <c r="R123" s="23" t="s">
        <v>105</v>
      </c>
      <c r="S123" s="23" t="s">
        <v>262</v>
      </c>
    </row>
    <row r="124" ht="12.75" customHeight="1">
      <c r="A124" s="9" t="s">
        <v>29</v>
      </c>
      <c r="B124" s="23" t="s">
        <v>86</v>
      </c>
      <c r="C124" s="23" t="s">
        <v>332</v>
      </c>
      <c r="D124" s="23" t="s">
        <v>333</v>
      </c>
      <c r="E124" s="9" t="s">
        <v>135</v>
      </c>
      <c r="F124" s="23" t="s">
        <v>345</v>
      </c>
      <c r="G124" s="23" t="s">
        <v>182</v>
      </c>
      <c r="H124" s="23" t="s">
        <v>174</v>
      </c>
      <c r="I124" s="26">
        <v>46237.0</v>
      </c>
      <c r="J124" s="26">
        <v>46244.0</v>
      </c>
      <c r="K124" s="26">
        <v>46267.0</v>
      </c>
      <c r="L124" s="9">
        <f t="shared" si="10"/>
        <v>23</v>
      </c>
      <c r="M124" s="9">
        <f t="shared" si="11"/>
        <v>35</v>
      </c>
      <c r="N124" s="23">
        <v>7.0</v>
      </c>
      <c r="O124" s="23"/>
      <c r="P124" s="23" t="s">
        <v>99</v>
      </c>
      <c r="Q124" s="23"/>
      <c r="R124" s="23" t="s">
        <v>105</v>
      </c>
      <c r="S124" s="23" t="s">
        <v>262</v>
      </c>
    </row>
    <row r="125" ht="12.75" customHeight="1">
      <c r="A125" s="9" t="s">
        <v>29</v>
      </c>
      <c r="B125" s="23" t="s">
        <v>86</v>
      </c>
      <c r="C125" s="23" t="s">
        <v>332</v>
      </c>
      <c r="D125" s="23" t="s">
        <v>333</v>
      </c>
      <c r="E125" s="9" t="s">
        <v>135</v>
      </c>
      <c r="F125" s="23" t="s">
        <v>346</v>
      </c>
      <c r="G125" s="23" t="s">
        <v>315</v>
      </c>
      <c r="H125" s="23" t="s">
        <v>174</v>
      </c>
      <c r="I125" s="26">
        <v>46237.0</v>
      </c>
      <c r="J125" s="26">
        <v>46244.0</v>
      </c>
      <c r="K125" s="26">
        <v>46267.0</v>
      </c>
      <c r="L125" s="9">
        <f t="shared" si="10"/>
        <v>23</v>
      </c>
      <c r="M125" s="9">
        <f t="shared" si="11"/>
        <v>35</v>
      </c>
      <c r="N125" s="23">
        <v>7.0</v>
      </c>
      <c r="O125" s="23"/>
      <c r="P125" s="23" t="s">
        <v>99</v>
      </c>
      <c r="Q125" s="23"/>
      <c r="R125" s="23" t="s">
        <v>105</v>
      </c>
      <c r="S125" s="23" t="s">
        <v>262</v>
      </c>
    </row>
    <row r="126" ht="12.75" customHeight="1">
      <c r="A126" s="9" t="s">
        <v>29</v>
      </c>
      <c r="B126" s="23" t="s">
        <v>86</v>
      </c>
      <c r="C126" s="23" t="s">
        <v>332</v>
      </c>
      <c r="D126" s="23" t="s">
        <v>333</v>
      </c>
      <c r="E126" s="9" t="s">
        <v>135</v>
      </c>
      <c r="F126" s="23" t="s">
        <v>347</v>
      </c>
      <c r="G126" s="23" t="s">
        <v>348</v>
      </c>
      <c r="H126" s="23" t="s">
        <v>174</v>
      </c>
      <c r="I126" s="26">
        <v>46237.0</v>
      </c>
      <c r="J126" s="26">
        <v>46244.0</v>
      </c>
      <c r="K126" s="26">
        <v>46267.0</v>
      </c>
      <c r="L126" s="9">
        <f t="shared" si="10"/>
        <v>23</v>
      </c>
      <c r="M126" s="9">
        <f t="shared" si="11"/>
        <v>35</v>
      </c>
      <c r="N126" s="23">
        <v>7.0</v>
      </c>
      <c r="O126" s="23"/>
      <c r="P126" s="23" t="s">
        <v>99</v>
      </c>
      <c r="Q126" s="23"/>
      <c r="R126" s="23" t="s">
        <v>105</v>
      </c>
      <c r="S126" s="23" t="s">
        <v>262</v>
      </c>
    </row>
    <row r="127" ht="12.75" customHeight="1">
      <c r="A127" s="9" t="s">
        <v>29</v>
      </c>
      <c r="B127" s="23" t="s">
        <v>86</v>
      </c>
      <c r="C127" s="23" t="s">
        <v>332</v>
      </c>
      <c r="D127" s="23" t="s">
        <v>333</v>
      </c>
      <c r="E127" s="9" t="s">
        <v>135</v>
      </c>
      <c r="F127" s="23" t="s">
        <v>349</v>
      </c>
      <c r="G127" s="23" t="s">
        <v>350</v>
      </c>
      <c r="H127" s="23" t="s">
        <v>174</v>
      </c>
      <c r="I127" s="26">
        <v>46237.0</v>
      </c>
      <c r="J127" s="26">
        <v>46244.0</v>
      </c>
      <c r="K127" s="26">
        <v>46272.0</v>
      </c>
      <c r="L127" s="9">
        <f t="shared" si="10"/>
        <v>28</v>
      </c>
      <c r="M127" s="9">
        <f t="shared" si="11"/>
        <v>35</v>
      </c>
      <c r="N127" s="23">
        <v>7.0</v>
      </c>
      <c r="O127" s="23"/>
      <c r="P127" s="23" t="s">
        <v>99</v>
      </c>
      <c r="Q127" s="23"/>
      <c r="R127" s="23" t="s">
        <v>105</v>
      </c>
      <c r="S127" s="23" t="s">
        <v>262</v>
      </c>
    </row>
    <row r="128" ht="12.75" customHeight="1">
      <c r="A128" s="9" t="s">
        <v>29</v>
      </c>
      <c r="B128" s="23" t="s">
        <v>86</v>
      </c>
      <c r="C128" s="23" t="s">
        <v>332</v>
      </c>
      <c r="D128" s="23" t="s">
        <v>333</v>
      </c>
      <c r="E128" s="9" t="s">
        <v>135</v>
      </c>
      <c r="F128" s="23" t="s">
        <v>351</v>
      </c>
      <c r="G128" s="23" t="s">
        <v>315</v>
      </c>
      <c r="H128" s="23" t="s">
        <v>174</v>
      </c>
      <c r="I128" s="26">
        <v>46237.0</v>
      </c>
      <c r="J128" s="26">
        <v>46244.0</v>
      </c>
      <c r="K128" s="26">
        <v>46272.0</v>
      </c>
      <c r="L128" s="9">
        <f t="shared" si="10"/>
        <v>28</v>
      </c>
      <c r="M128" s="9">
        <f t="shared" si="11"/>
        <v>35</v>
      </c>
      <c r="N128" s="23">
        <v>7.0</v>
      </c>
      <c r="O128" s="23"/>
      <c r="P128" s="23" t="s">
        <v>99</v>
      </c>
      <c r="Q128" s="23"/>
      <c r="R128" s="23" t="s">
        <v>105</v>
      </c>
      <c r="S128" s="23" t="s">
        <v>262</v>
      </c>
    </row>
    <row r="129" ht="12.75" customHeight="1">
      <c r="A129" s="9" t="s">
        <v>29</v>
      </c>
      <c r="B129" s="23" t="s">
        <v>86</v>
      </c>
      <c r="C129" s="23" t="s">
        <v>332</v>
      </c>
      <c r="D129" s="23" t="s">
        <v>333</v>
      </c>
      <c r="E129" s="9" t="s">
        <v>135</v>
      </c>
      <c r="F129" s="23" t="s">
        <v>352</v>
      </c>
      <c r="G129" s="23" t="s">
        <v>304</v>
      </c>
      <c r="H129" s="23" t="s">
        <v>174</v>
      </c>
      <c r="I129" s="26">
        <v>46237.0</v>
      </c>
      <c r="J129" s="26">
        <v>46244.0</v>
      </c>
      <c r="K129" s="26">
        <v>46267.0</v>
      </c>
      <c r="L129" s="9">
        <f t="shared" si="10"/>
        <v>23</v>
      </c>
      <c r="M129" s="9">
        <f t="shared" si="11"/>
        <v>35</v>
      </c>
      <c r="N129" s="23">
        <v>7.0</v>
      </c>
      <c r="O129" s="23"/>
      <c r="P129" s="23" t="s">
        <v>99</v>
      </c>
      <c r="Q129" s="23"/>
      <c r="R129" s="23" t="s">
        <v>105</v>
      </c>
      <c r="S129" s="23" t="s">
        <v>262</v>
      </c>
    </row>
    <row r="130" ht="12.75" customHeight="1">
      <c r="A130" s="9" t="s">
        <v>29</v>
      </c>
      <c r="B130" s="23" t="s">
        <v>86</v>
      </c>
      <c r="C130" s="23" t="s">
        <v>292</v>
      </c>
      <c r="D130" s="23" t="s">
        <v>135</v>
      </c>
      <c r="E130" s="9" t="s">
        <v>135</v>
      </c>
      <c r="F130" s="23" t="s">
        <v>317</v>
      </c>
      <c r="G130" s="23" t="s">
        <v>318</v>
      </c>
      <c r="H130" s="23" t="s">
        <v>140</v>
      </c>
      <c r="I130" s="26">
        <v>46265.0</v>
      </c>
      <c r="J130" s="26">
        <v>46265.0</v>
      </c>
      <c r="K130" s="26">
        <v>46266.0</v>
      </c>
      <c r="L130" s="9">
        <f t="shared" si="10"/>
        <v>1</v>
      </c>
      <c r="M130" s="9">
        <f t="shared" si="11"/>
        <v>14</v>
      </c>
      <c r="N130" s="23">
        <v>7.0</v>
      </c>
      <c r="O130" s="23"/>
      <c r="P130" s="23" t="s">
        <v>327</v>
      </c>
      <c r="Q130" s="23"/>
      <c r="R130" s="23" t="s">
        <v>290</v>
      </c>
      <c r="S130" s="23" t="s">
        <v>291</v>
      </c>
    </row>
    <row r="131" ht="12.75" customHeight="1">
      <c r="A131" s="9" t="s">
        <v>29</v>
      </c>
      <c r="B131" s="23" t="s">
        <v>86</v>
      </c>
      <c r="C131" s="23" t="s">
        <v>292</v>
      </c>
      <c r="D131" s="23" t="s">
        <v>135</v>
      </c>
      <c r="E131" s="9" t="s">
        <v>135</v>
      </c>
      <c r="F131" s="23" t="s">
        <v>319</v>
      </c>
      <c r="G131" s="23" t="s">
        <v>320</v>
      </c>
      <c r="H131" s="23" t="s">
        <v>140</v>
      </c>
      <c r="I131" s="26">
        <v>46265.0</v>
      </c>
      <c r="J131" s="26">
        <v>46265.0</v>
      </c>
      <c r="K131" s="26">
        <v>46266.0</v>
      </c>
      <c r="L131" s="9">
        <f t="shared" si="10"/>
        <v>1</v>
      </c>
      <c r="M131" s="9">
        <f t="shared" si="11"/>
        <v>14</v>
      </c>
      <c r="N131" s="23">
        <v>7.0</v>
      </c>
      <c r="O131" s="23"/>
      <c r="P131" s="23" t="s">
        <v>327</v>
      </c>
      <c r="Q131" s="23"/>
      <c r="R131" s="23" t="s">
        <v>290</v>
      </c>
      <c r="S131" s="23" t="s">
        <v>291</v>
      </c>
    </row>
    <row r="132" ht="12.75" customHeight="1">
      <c r="A132" s="9" t="s">
        <v>29</v>
      </c>
      <c r="B132" s="23" t="s">
        <v>86</v>
      </c>
      <c r="C132" s="23" t="s">
        <v>292</v>
      </c>
      <c r="D132" s="23" t="s">
        <v>135</v>
      </c>
      <c r="E132" s="9" t="s">
        <v>135</v>
      </c>
      <c r="F132" s="23" t="s">
        <v>317</v>
      </c>
      <c r="G132" s="23" t="s">
        <v>318</v>
      </c>
      <c r="H132" s="23" t="s">
        <v>329</v>
      </c>
      <c r="I132" s="26">
        <v>46266.0</v>
      </c>
      <c r="J132" s="26">
        <v>46266.0</v>
      </c>
      <c r="K132" s="26">
        <v>46267.0</v>
      </c>
      <c r="L132" s="9">
        <f t="shared" si="10"/>
        <v>1</v>
      </c>
      <c r="M132" s="9">
        <f t="shared" si="11"/>
        <v>13</v>
      </c>
      <c r="N132" s="23">
        <v>2.0</v>
      </c>
      <c r="O132" s="23"/>
      <c r="P132" s="23" t="s">
        <v>211</v>
      </c>
      <c r="Q132" s="23"/>
      <c r="R132" s="23" t="s">
        <v>290</v>
      </c>
      <c r="S132" s="23" t="s">
        <v>291</v>
      </c>
    </row>
    <row r="133" ht="12.75" customHeight="1">
      <c r="A133" s="9" t="s">
        <v>29</v>
      </c>
      <c r="B133" s="23" t="s">
        <v>86</v>
      </c>
      <c r="C133" s="23" t="s">
        <v>292</v>
      </c>
      <c r="D133" s="23" t="s">
        <v>135</v>
      </c>
      <c r="E133" s="9" t="s">
        <v>135</v>
      </c>
      <c r="F133" s="23" t="s">
        <v>319</v>
      </c>
      <c r="G133" s="23" t="s">
        <v>320</v>
      </c>
      <c r="H133" s="23" t="s">
        <v>329</v>
      </c>
      <c r="I133" s="26">
        <v>46266.0</v>
      </c>
      <c r="J133" s="26">
        <v>46266.0</v>
      </c>
      <c r="K133" s="26">
        <v>46267.0</v>
      </c>
      <c r="L133" s="9">
        <f t="shared" si="10"/>
        <v>1</v>
      </c>
      <c r="M133" s="9">
        <f t="shared" si="11"/>
        <v>13</v>
      </c>
      <c r="N133" s="23">
        <v>2.0</v>
      </c>
      <c r="O133" s="23"/>
      <c r="P133" s="23" t="s">
        <v>211</v>
      </c>
      <c r="Q133" s="23"/>
      <c r="R133" s="23" t="s">
        <v>290</v>
      </c>
      <c r="S133" s="23" t="s">
        <v>291</v>
      </c>
    </row>
    <row r="134" ht="12.75" customHeight="1">
      <c r="A134" s="9" t="s">
        <v>29</v>
      </c>
      <c r="B134" s="23" t="s">
        <v>50</v>
      </c>
      <c r="C134" s="23" t="s">
        <v>353</v>
      </c>
      <c r="D134" s="23" t="s">
        <v>57</v>
      </c>
      <c r="E134" s="9" t="s">
        <v>57</v>
      </c>
      <c r="F134" s="23" t="s">
        <v>354</v>
      </c>
      <c r="G134" s="23" t="s">
        <v>355</v>
      </c>
      <c r="H134" s="23" t="s">
        <v>261</v>
      </c>
      <c r="I134" s="26">
        <v>46255.0</v>
      </c>
      <c r="J134" s="26">
        <v>46265.0</v>
      </c>
      <c r="K134" s="26">
        <v>46266.0</v>
      </c>
      <c r="L134" s="9">
        <f t="shared" si="10"/>
        <v>1</v>
      </c>
      <c r="M134" s="9">
        <f t="shared" si="11"/>
        <v>14</v>
      </c>
      <c r="N134" s="23">
        <v>7.0</v>
      </c>
      <c r="O134" s="23"/>
      <c r="P134" s="23" t="s">
        <v>327</v>
      </c>
      <c r="Q134" s="23"/>
      <c r="R134" s="23" t="s">
        <v>290</v>
      </c>
      <c r="S134" s="23" t="s">
        <v>291</v>
      </c>
    </row>
    <row r="135" ht="12.75" customHeight="1">
      <c r="A135" s="9" t="s">
        <v>29</v>
      </c>
      <c r="B135" s="23" t="s">
        <v>50</v>
      </c>
      <c r="C135" s="23" t="s">
        <v>353</v>
      </c>
      <c r="D135" s="23" t="s">
        <v>57</v>
      </c>
      <c r="E135" s="9" t="s">
        <v>57</v>
      </c>
      <c r="F135" s="23" t="s">
        <v>354</v>
      </c>
      <c r="G135" s="23" t="s">
        <v>355</v>
      </c>
      <c r="H135" s="23" t="s">
        <v>263</v>
      </c>
      <c r="I135" s="26">
        <v>46266.0</v>
      </c>
      <c r="J135" s="26">
        <v>46266.0</v>
      </c>
      <c r="K135" s="26">
        <v>46271.0</v>
      </c>
      <c r="L135" s="9">
        <f t="shared" si="10"/>
        <v>5</v>
      </c>
      <c r="M135" s="9">
        <f t="shared" si="11"/>
        <v>13</v>
      </c>
      <c r="N135" s="23">
        <v>2.0</v>
      </c>
      <c r="O135" s="23"/>
      <c r="P135" s="23" t="s">
        <v>211</v>
      </c>
      <c r="Q135" s="23"/>
      <c r="R135" s="23" t="s">
        <v>290</v>
      </c>
      <c r="S135" s="23" t="s">
        <v>291</v>
      </c>
    </row>
    <row r="136" ht="12.75" customHeight="1">
      <c r="A136" s="9" t="s">
        <v>29</v>
      </c>
      <c r="B136" s="23" t="s">
        <v>50</v>
      </c>
      <c r="C136" s="23" t="s">
        <v>353</v>
      </c>
      <c r="D136" s="23" t="s">
        <v>57</v>
      </c>
      <c r="E136" s="9" t="s">
        <v>57</v>
      </c>
      <c r="F136" s="23" t="s">
        <v>356</v>
      </c>
      <c r="G136" s="23" t="s">
        <v>357</v>
      </c>
      <c r="H136" s="23" t="s">
        <v>261</v>
      </c>
      <c r="I136" s="26">
        <v>46255.0</v>
      </c>
      <c r="J136" s="26">
        <v>46269.0</v>
      </c>
      <c r="K136" s="26"/>
      <c r="L136" s="9"/>
      <c r="M136" s="9">
        <f t="shared" si="11"/>
        <v>10</v>
      </c>
      <c r="N136" s="23">
        <v>7.0</v>
      </c>
      <c r="O136" s="23"/>
      <c r="P136" s="23" t="s">
        <v>253</v>
      </c>
      <c r="Q136" s="23"/>
      <c r="R136" s="23" t="s">
        <v>290</v>
      </c>
      <c r="S136" s="23" t="s">
        <v>291</v>
      </c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autoFilter ref="$A$1:$Z$136"/>
  <dataValidations>
    <dataValidation type="list" allowBlank="1" showErrorMessage="1" sqref="P2:P19 P23:P136">
      <formula1>"Physical Completed,WIP,Pending/YTS,AT WIP,Report WIP,Migration WIP,Fully Completed,Alignment WIP,PP Closure WIP,Survey Completed,Migrated,PE Done,Dismantle completed,I&amp;C Complete"</formula1>
    </dataValidation>
    <dataValidation type="list" allowBlank="1" showErrorMessage="1" sqref="B2:B136">
      <formula1>"Orissa,West Bengal,Jharkhand,Bihar,Assam,Sikkim"</formula1>
    </dataValidation>
    <dataValidation type="list" allowBlank="1" showErrorMessage="1" sqref="E2:E45 D46:E46 E47:E76 E79:E82 E84:E136">
      <formula1>"BTS,Customer,UBR"</formula1>
    </dataValidation>
    <dataValidation type="list" allowBlank="1" showErrorMessage="1" sqref="R2:R136">
      <formula1>"Released,Pending"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8.25"/>
    <col customWidth="1" min="3" max="3" width="34.88"/>
    <col customWidth="1" min="4" max="4" width="18.25"/>
    <col hidden="1" min="5" max="14" width="12.63"/>
    <col customWidth="1" min="21" max="21" width="14.13"/>
  </cols>
  <sheetData>
    <row r="1">
      <c r="A1" s="2" t="s">
        <v>0</v>
      </c>
      <c r="B1" s="3" t="s">
        <v>16</v>
      </c>
      <c r="C1" s="3" t="s">
        <v>19</v>
      </c>
      <c r="D1" s="3" t="s">
        <v>21</v>
      </c>
      <c r="E1" s="4" t="s">
        <v>23</v>
      </c>
      <c r="F1" s="4" t="s">
        <v>24</v>
      </c>
      <c r="G1" s="5" t="s">
        <v>25</v>
      </c>
      <c r="H1" s="5" t="s">
        <v>26</v>
      </c>
      <c r="I1" s="7" t="s">
        <v>27</v>
      </c>
      <c r="J1" s="8" t="s">
        <v>28</v>
      </c>
      <c r="K1" s="8" t="s">
        <v>30</v>
      </c>
      <c r="L1" s="4" t="s">
        <v>31</v>
      </c>
      <c r="M1" s="4" t="s">
        <v>32</v>
      </c>
      <c r="N1" s="4" t="s">
        <v>33</v>
      </c>
      <c r="O1" s="10" t="s">
        <v>34</v>
      </c>
      <c r="P1" s="10" t="s">
        <v>35</v>
      </c>
      <c r="Q1" s="11" t="s">
        <v>36</v>
      </c>
      <c r="R1" s="11" t="s">
        <v>37</v>
      </c>
      <c r="S1" s="12" t="s">
        <v>38</v>
      </c>
      <c r="T1" s="12" t="s">
        <v>39</v>
      </c>
      <c r="U1" s="13" t="s">
        <v>40</v>
      </c>
      <c r="V1" s="13" t="s">
        <v>41</v>
      </c>
      <c r="W1" s="13" t="s">
        <v>42</v>
      </c>
      <c r="X1" s="13" t="s">
        <v>43</v>
      </c>
      <c r="Y1" s="13" t="s">
        <v>44</v>
      </c>
      <c r="Z1" s="12" t="s">
        <v>45</v>
      </c>
      <c r="AA1" s="12" t="s">
        <v>46</v>
      </c>
      <c r="AB1" s="12" t="s">
        <v>47</v>
      </c>
      <c r="AC1" s="14" t="s">
        <v>48</v>
      </c>
      <c r="AD1" s="14" t="s">
        <v>49</v>
      </c>
      <c r="AE1" s="14" t="s">
        <v>51</v>
      </c>
      <c r="AF1" s="14" t="s">
        <v>52</v>
      </c>
      <c r="AG1" s="15" t="s">
        <v>55</v>
      </c>
      <c r="AH1" s="15" t="s">
        <v>56</v>
      </c>
    </row>
    <row r="2">
      <c r="A2" s="16">
        <v>1.0</v>
      </c>
      <c r="B2" s="16" t="s">
        <v>29</v>
      </c>
      <c r="C2" s="16" t="s">
        <v>61</v>
      </c>
      <c r="D2" s="18" t="s">
        <v>62</v>
      </c>
      <c r="E2" s="19">
        <v>35978.0</v>
      </c>
      <c r="F2" s="16">
        <v>7.327946989E9</v>
      </c>
      <c r="G2" s="16" t="s">
        <v>63</v>
      </c>
      <c r="H2" s="16">
        <v>8.144198804E9</v>
      </c>
      <c r="I2" s="16" t="s">
        <v>64</v>
      </c>
      <c r="J2" s="16" t="s">
        <v>65</v>
      </c>
      <c r="K2" s="20">
        <v>45068.0</v>
      </c>
      <c r="L2" s="16" t="s">
        <v>66</v>
      </c>
      <c r="M2" s="16" t="s">
        <v>67</v>
      </c>
      <c r="N2" s="16" t="s">
        <v>68</v>
      </c>
      <c r="O2" s="16" t="s">
        <v>50</v>
      </c>
      <c r="P2" s="16" t="s">
        <v>69</v>
      </c>
      <c r="Q2" s="16" t="s">
        <v>70</v>
      </c>
      <c r="R2" s="16">
        <v>2.5260003E7</v>
      </c>
      <c r="S2" s="19">
        <v>45749.0</v>
      </c>
      <c r="T2" s="19">
        <v>46478.0</v>
      </c>
      <c r="U2" s="16" t="s">
        <v>71</v>
      </c>
      <c r="V2" s="16" t="s">
        <v>72</v>
      </c>
      <c r="W2" s="16" t="s">
        <v>73</v>
      </c>
      <c r="X2" s="16" t="s">
        <v>73</v>
      </c>
      <c r="Y2" s="16" t="s">
        <v>73</v>
      </c>
      <c r="Z2" s="16" t="s">
        <v>74</v>
      </c>
      <c r="AA2" s="21">
        <v>44911.0</v>
      </c>
      <c r="AB2" s="16" t="s">
        <v>75</v>
      </c>
      <c r="AC2" s="16" t="s">
        <v>76</v>
      </c>
      <c r="AD2" s="16" t="s">
        <v>77</v>
      </c>
      <c r="AE2" s="19">
        <v>46478.0</v>
      </c>
      <c r="AF2" s="16" t="s">
        <v>78</v>
      </c>
      <c r="AG2" s="16" t="s">
        <v>70</v>
      </c>
      <c r="AH2" s="18" t="s">
        <v>79</v>
      </c>
    </row>
    <row r="3">
      <c r="A3" s="16">
        <v>2.0</v>
      </c>
      <c r="B3" s="16" t="s">
        <v>29</v>
      </c>
      <c r="C3" s="16" t="s">
        <v>61</v>
      </c>
      <c r="D3" s="18" t="s">
        <v>80</v>
      </c>
      <c r="E3" s="21">
        <v>31667.0</v>
      </c>
      <c r="F3" s="16">
        <v>9.924896809E9</v>
      </c>
      <c r="G3" s="16" t="s">
        <v>81</v>
      </c>
      <c r="H3" s="16">
        <v>9.832762246E9</v>
      </c>
      <c r="I3" s="16" t="s">
        <v>64</v>
      </c>
      <c r="J3" s="16" t="s">
        <v>82</v>
      </c>
      <c r="K3" s="21">
        <v>45132.0</v>
      </c>
      <c r="L3" s="16" t="s">
        <v>83</v>
      </c>
      <c r="M3" s="16" t="s">
        <v>84</v>
      </c>
      <c r="N3" s="16" t="s">
        <v>85</v>
      </c>
      <c r="O3" s="16" t="s">
        <v>86</v>
      </c>
      <c r="P3" s="16" t="s">
        <v>87</v>
      </c>
      <c r="Q3" s="16" t="s">
        <v>70</v>
      </c>
      <c r="R3" s="16">
        <v>2.5260401E7</v>
      </c>
      <c r="S3" s="21">
        <v>45915.0</v>
      </c>
      <c r="T3" s="21">
        <v>46645.0</v>
      </c>
      <c r="U3" s="16" t="s">
        <v>71</v>
      </c>
      <c r="V3" s="16" t="s">
        <v>72</v>
      </c>
      <c r="W3" s="16" t="s">
        <v>73</v>
      </c>
      <c r="X3" s="16" t="s">
        <v>73</v>
      </c>
      <c r="Y3" s="16" t="s">
        <v>73</v>
      </c>
      <c r="Z3" s="16" t="s">
        <v>74</v>
      </c>
      <c r="AA3" s="21">
        <v>45149.0</v>
      </c>
      <c r="AB3" s="16" t="s">
        <v>88</v>
      </c>
      <c r="AC3" s="16" t="s">
        <v>76</v>
      </c>
      <c r="AD3" s="16" t="s">
        <v>77</v>
      </c>
      <c r="AE3" s="21">
        <v>46645.0</v>
      </c>
      <c r="AF3" s="16" t="s">
        <v>89</v>
      </c>
      <c r="AG3" s="16" t="s">
        <v>70</v>
      </c>
      <c r="AH3" s="18">
        <v>21177.0</v>
      </c>
    </row>
    <row r="4">
      <c r="A4" s="16">
        <v>3.0</v>
      </c>
      <c r="B4" s="16" t="s">
        <v>29</v>
      </c>
      <c r="C4" s="16" t="s">
        <v>61</v>
      </c>
      <c r="D4" s="18" t="s">
        <v>90</v>
      </c>
      <c r="E4" s="19">
        <v>37837.0</v>
      </c>
      <c r="F4" s="16">
        <v>8.515933473E9</v>
      </c>
      <c r="G4" s="16" t="s">
        <v>91</v>
      </c>
      <c r="H4" s="16">
        <v>7.548960041E9</v>
      </c>
      <c r="I4" s="16" t="s">
        <v>92</v>
      </c>
      <c r="J4" s="16" t="s">
        <v>93</v>
      </c>
      <c r="K4" s="19">
        <v>45507.0</v>
      </c>
      <c r="L4" s="16" t="s">
        <v>94</v>
      </c>
      <c r="M4" s="16" t="s">
        <v>95</v>
      </c>
      <c r="N4" s="22">
        <v>45783.0</v>
      </c>
      <c r="O4" s="16" t="s">
        <v>86</v>
      </c>
      <c r="P4" s="16" t="s">
        <v>87</v>
      </c>
      <c r="Q4" s="16" t="s">
        <v>70</v>
      </c>
      <c r="R4" s="16">
        <v>2.4250116E7</v>
      </c>
      <c r="S4" s="19">
        <v>45508.0</v>
      </c>
      <c r="T4" s="19">
        <v>46238.0</v>
      </c>
      <c r="U4" s="16" t="s">
        <v>71</v>
      </c>
      <c r="V4" s="16" t="s">
        <v>72</v>
      </c>
      <c r="W4" s="16" t="s">
        <v>73</v>
      </c>
      <c r="X4" s="16" t="s">
        <v>73</v>
      </c>
      <c r="Y4" s="16" t="s">
        <v>73</v>
      </c>
      <c r="Z4" s="16" t="s">
        <v>74</v>
      </c>
      <c r="AA4" s="19">
        <v>45874.0</v>
      </c>
      <c r="AB4" s="16" t="s">
        <v>75</v>
      </c>
      <c r="AC4" s="16" t="s">
        <v>76</v>
      </c>
      <c r="AD4" s="16" t="s">
        <v>77</v>
      </c>
      <c r="AE4" s="19">
        <v>46237.0</v>
      </c>
      <c r="AF4" s="16" t="s">
        <v>97</v>
      </c>
      <c r="AG4" s="16" t="s">
        <v>70</v>
      </c>
      <c r="AH4" s="16" t="s">
        <v>98</v>
      </c>
    </row>
    <row r="5">
      <c r="A5" s="16">
        <v>4.0</v>
      </c>
      <c r="B5" s="16" t="s">
        <v>29</v>
      </c>
      <c r="C5" s="16" t="s">
        <v>61</v>
      </c>
      <c r="D5" s="18" t="s">
        <v>101</v>
      </c>
      <c r="E5" s="21">
        <v>45580.0</v>
      </c>
      <c r="F5" s="16">
        <v>9.832578982E9</v>
      </c>
      <c r="G5" s="16" t="s">
        <v>102</v>
      </c>
      <c r="H5" s="16">
        <v>9.830210541E9</v>
      </c>
      <c r="I5" s="16" t="s">
        <v>103</v>
      </c>
      <c r="J5" s="16" t="s">
        <v>104</v>
      </c>
      <c r="K5" s="21">
        <v>46037.0</v>
      </c>
      <c r="L5" s="24" t="s">
        <v>106</v>
      </c>
      <c r="M5" s="16" t="s">
        <v>119</v>
      </c>
      <c r="N5" s="22">
        <v>45668.0</v>
      </c>
      <c r="O5" s="16" t="s">
        <v>86</v>
      </c>
      <c r="P5" s="16" t="s">
        <v>121</v>
      </c>
      <c r="Q5" s="16" t="s">
        <v>70</v>
      </c>
      <c r="R5" s="25" t="s">
        <v>123</v>
      </c>
      <c r="S5" s="21">
        <v>46044.0</v>
      </c>
      <c r="T5" s="21">
        <v>46774.0</v>
      </c>
      <c r="U5" s="16" t="s">
        <v>71</v>
      </c>
      <c r="V5" s="16" t="s">
        <v>72</v>
      </c>
      <c r="W5" s="16" t="s">
        <v>73</v>
      </c>
      <c r="X5" s="16" t="s">
        <v>73</v>
      </c>
      <c r="Y5" s="16" t="s">
        <v>73</v>
      </c>
      <c r="Z5" s="16" t="s">
        <v>74</v>
      </c>
      <c r="AA5" s="21">
        <v>45976.0</v>
      </c>
      <c r="AB5" s="16" t="s">
        <v>75</v>
      </c>
      <c r="AC5" s="16" t="s">
        <v>76</v>
      </c>
      <c r="AD5" s="16" t="s">
        <v>77</v>
      </c>
      <c r="AE5" s="16" t="s">
        <v>124</v>
      </c>
      <c r="AF5" s="16" t="s">
        <v>124</v>
      </c>
      <c r="AG5" s="16" t="s">
        <v>70</v>
      </c>
      <c r="AH5" s="16" t="s">
        <v>73</v>
      </c>
    </row>
    <row r="6">
      <c r="A6" s="16">
        <v>5.0</v>
      </c>
      <c r="B6" s="16" t="s">
        <v>29</v>
      </c>
      <c r="C6" s="16" t="s">
        <v>61</v>
      </c>
      <c r="D6" s="18" t="s">
        <v>125</v>
      </c>
      <c r="E6" s="21"/>
      <c r="F6" s="16"/>
      <c r="G6" s="16"/>
      <c r="H6" s="16"/>
      <c r="I6" s="16"/>
      <c r="J6" s="16"/>
      <c r="K6" s="21"/>
      <c r="L6" s="16"/>
      <c r="M6" s="16"/>
      <c r="N6" s="22"/>
      <c r="O6" s="16" t="s">
        <v>86</v>
      </c>
      <c r="P6" s="16" t="s">
        <v>121</v>
      </c>
      <c r="Q6" s="16" t="s">
        <v>70</v>
      </c>
      <c r="R6" s="16">
        <v>2.5260699E7</v>
      </c>
      <c r="S6" s="21">
        <v>46069.0</v>
      </c>
      <c r="T6" s="21">
        <v>46798.0</v>
      </c>
      <c r="U6" s="16" t="s">
        <v>71</v>
      </c>
      <c r="V6" s="16" t="s">
        <v>72</v>
      </c>
      <c r="W6" s="16" t="s">
        <v>73</v>
      </c>
      <c r="X6" s="16" t="s">
        <v>73</v>
      </c>
      <c r="Y6" s="16" t="s">
        <v>73</v>
      </c>
      <c r="Z6" s="16" t="s">
        <v>74</v>
      </c>
      <c r="AA6" s="19">
        <v>46178.0</v>
      </c>
      <c r="AB6" s="16" t="s">
        <v>128</v>
      </c>
      <c r="AC6" s="16" t="s">
        <v>76</v>
      </c>
      <c r="AD6" s="16" t="s">
        <v>77</v>
      </c>
      <c r="AE6" s="21">
        <v>46798.0</v>
      </c>
      <c r="AF6" s="16" t="s">
        <v>130</v>
      </c>
      <c r="AG6" s="16" t="s">
        <v>70</v>
      </c>
      <c r="AH6" s="16">
        <v>2605846.0</v>
      </c>
    </row>
    <row r="7">
      <c r="A7" s="16">
        <v>6.0</v>
      </c>
      <c r="B7" s="16" t="s">
        <v>29</v>
      </c>
      <c r="C7" s="16" t="s">
        <v>61</v>
      </c>
      <c r="D7" s="18" t="s">
        <v>131</v>
      </c>
      <c r="E7" s="21"/>
      <c r="F7" s="16"/>
      <c r="G7" s="16"/>
      <c r="H7" s="16"/>
      <c r="I7" s="16"/>
      <c r="J7" s="16"/>
      <c r="K7" s="21"/>
      <c r="L7" s="16"/>
      <c r="M7" s="16"/>
      <c r="N7" s="22"/>
      <c r="O7" s="16" t="s">
        <v>50</v>
      </c>
      <c r="P7" s="16" t="s">
        <v>69</v>
      </c>
      <c r="Q7" s="16" t="s">
        <v>70</v>
      </c>
      <c r="R7" s="16">
        <v>2.4250288E7</v>
      </c>
      <c r="S7" s="21">
        <v>45613.0</v>
      </c>
      <c r="T7" s="21">
        <v>46342.0</v>
      </c>
      <c r="U7" s="16" t="s">
        <v>71</v>
      </c>
      <c r="V7" s="16" t="s">
        <v>72</v>
      </c>
      <c r="W7" s="16" t="s">
        <v>73</v>
      </c>
      <c r="X7" s="16" t="s">
        <v>73</v>
      </c>
      <c r="Y7" s="16" t="s">
        <v>73</v>
      </c>
      <c r="Z7" s="16"/>
      <c r="AA7" s="21"/>
      <c r="AB7" s="16"/>
      <c r="AC7" s="16"/>
      <c r="AD7" s="16"/>
      <c r="AE7" s="16"/>
      <c r="AF7" s="16"/>
      <c r="AG7" s="16"/>
      <c r="AH7" s="16"/>
    </row>
    <row r="8">
      <c r="A8" s="16">
        <v>7.0</v>
      </c>
      <c r="B8" s="16" t="s">
        <v>29</v>
      </c>
      <c r="C8" s="16" t="s">
        <v>61</v>
      </c>
      <c r="D8" s="18" t="s">
        <v>134</v>
      </c>
      <c r="E8" s="21"/>
      <c r="F8" s="16"/>
      <c r="G8" s="16"/>
      <c r="H8" s="16"/>
      <c r="I8" s="16"/>
      <c r="J8" s="16"/>
      <c r="K8" s="21"/>
      <c r="L8" s="16"/>
      <c r="M8" s="16"/>
      <c r="N8" s="22"/>
      <c r="O8" s="16" t="s">
        <v>50</v>
      </c>
      <c r="P8" s="16" t="s">
        <v>69</v>
      </c>
      <c r="Q8" s="16" t="s">
        <v>70</v>
      </c>
      <c r="R8" s="16">
        <v>2.5260603E7</v>
      </c>
      <c r="S8" s="21">
        <v>46192.0</v>
      </c>
      <c r="T8" s="21">
        <v>46922.0</v>
      </c>
      <c r="U8" s="16" t="s">
        <v>71</v>
      </c>
      <c r="V8" s="16" t="s">
        <v>72</v>
      </c>
      <c r="W8" s="16" t="s">
        <v>73</v>
      </c>
      <c r="X8" s="16" t="s">
        <v>73</v>
      </c>
      <c r="Y8" s="16" t="s">
        <v>73</v>
      </c>
      <c r="Z8" s="16"/>
      <c r="AA8" s="21"/>
      <c r="AB8" s="16"/>
      <c r="AC8" s="16"/>
      <c r="AD8" s="16"/>
      <c r="AE8" s="16"/>
      <c r="AF8" s="16"/>
      <c r="AG8" s="16"/>
      <c r="AH8" s="16"/>
    </row>
  </sheetData>
  <hyperlinks>
    <hyperlink r:id="rId1" ref="A1"/>
    <hyperlink r:id="rId2" ref="L5"/>
  </hyperlinks>
  <drawing r:id="rId3"/>
</worksheet>
</file>